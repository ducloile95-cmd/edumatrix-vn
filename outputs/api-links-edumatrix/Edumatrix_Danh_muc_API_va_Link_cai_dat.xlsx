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6d89c9c20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c5491852cb3a4fea"/>
    <x:sheet xmlns:r="http://schemas.openxmlformats.org/officeDocument/2006/relationships" name="Danh sách API" sheetId="2" r:id="Rf87c27ea9b184ac6"/>
    <x:sheet xmlns:r="http://schemas.openxmlformats.org/officeDocument/2006/relationships" name="Checklist tên miền" sheetId="3" r:id="R40b1849c8a3a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  <x:font>
      <x:b/>
      <x:sz val="10"/>
      <x:color rgb="FF0B6E99"/>
      <x:name val="Carlito"/>
    </x:font>
    <x:font>
      <x:sz val="10"/>
      <x:color rgb="FF0B6E99"/>
      <x:name val="Carlito"/>
    </x:font>
    <x:font>
      <x:b/>
      <x:sz val="20"/>
      <x:color rgb="FFFFFFFF"/>
      <x:name val="Carlito"/>
    </x:font>
    <x:font>
      <x:i/>
      <x:sz val="11"/>
      <x:color rgb="FF5D7480"/>
      <x:name val="Carlito"/>
    </x:font>
    <x:font>
      <x:b/>
      <x:sz val="11"/>
      <x:color rgb="FF18313F"/>
      <x:name val="Carlito"/>
    </x:font>
    <x:font>
      <x:b/>
      <x:sz val="18"/>
      <x:color rgb="FF0B6E99"/>
      <x:name val="Carlito"/>
    </x:font>
    <x:font>
      <x:b/>
      <x:sz val="18"/>
      <x:color rgb="FF8A5A00"/>
      <x:name val="Carlito"/>
    </x:font>
    <x:font>
      <x:b/>
      <x:sz val="11"/>
      <x:color rgb="FF0B6E99"/>
      <x:name val="Carlito"/>
    </x:font>
    <x:font>
      <x:b/>
      <x:sz val="11"/>
      <x:color rgb="FF70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5FA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0B6E99"/>
      </x:patternFill>
    </x:fill>
  </x:fills>
  <x:borders count="14">
    <x:border/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</x:border>
    <x:border>
      <x:left style="thin">
        <x:color rgb="FFD7E2E8"/>
      </x:left>
      <x:top style="thin">
        <x:color rgb="FFD7E2E8"/>
      </x:top>
    </x:border>
    <x:border>
      <x:right style="thin">
        <x:color rgb="FFD7E2E8"/>
      </x:right>
      <x:top style="thin">
        <x:color rgb="FFD7E2E8"/>
      </x:top>
    </x:border>
    <x:border>
      <x:left style="thin">
        <x:color rgb="FFD7E2E8"/>
      </x:left>
      <x:bottom style="thin">
        <x:color rgb="FFD7E2E8"/>
      </x:bottom>
    </x:border>
    <x:border>
      <x:right style="thin">
        <x:color rgb="FFD7E2E8"/>
      </x:right>
      <x:bottom style="thin">
        <x:color rgb="FFD7E2E8"/>
      </x:bottom>
    </x:border>
    <x:border>
      <x:left style="thin">
        <x:color rgb="FFE7C96A"/>
      </x:left>
      <x:top style="thin">
        <x:color rgb="FFE7C96A"/>
      </x:top>
    </x:border>
    <x:border>
      <x:top style="thin">
        <x:color rgb="FFE7C96A"/>
      </x:top>
    </x:border>
    <x:border>
      <x:right style="thin">
        <x:color rgb="FFE7C96A"/>
      </x:right>
      <x:top style="thin">
        <x:color rgb="FFE7C96A"/>
      </x:top>
    </x:border>
    <x:border>
      <x:left style="thin">
        <x:color rgb="FFE7C96A"/>
      </x:left>
      <x:bottom style="thin">
        <x:color rgb="FFE7C96A"/>
      </x:bottom>
    </x:border>
    <x:border>
      <x:bottom style="thin">
        <x:color rgb="FFE7C96A"/>
      </x:bottom>
    </x:border>
    <x:border>
      <x:right style="thin">
        <x:color rgb="FFE7C96A"/>
      </x:right>
      <x:bottom style="thin">
        <x:color rgb="FFE7C96A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4" xfId="0" applyNumberFormat="1" applyFont="1" applyFill="1" applyBorder="1" applyAlignment="1">
      <x:alignment horizontal="center"/>
    </x:xf>
    <x:xf numFmtId="0" fontId="7" fillId="4" borderId="5" xfId="0" applyNumberFormat="1" applyFont="1" applyFill="1" applyBorder="1" applyAlignment="1">
      <x:alignment horizontal="center"/>
    </x:xf>
    <x:xf numFmtId="0" fontId="7" fillId="4" borderId="6" xfId="0" applyNumberFormat="1" applyFont="1" applyFill="1" applyBorder="1" applyAlignment="1">
      <x:alignment horizontal="center"/>
    </x:xf>
    <x:xf numFmtId="0" fontId="7" fillId="4" borderId="7" xfId="0" applyNumberFormat="1" applyFont="1" applyFill="1" applyBorder="1" applyAlignment="1">
      <x:alignment horizontal="center"/>
    </x:xf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8" fillId="4" borderId="6" xfId="0" applyNumberFormat="1" applyFont="1" applyFill="1" applyBorder="1" applyAlignment="1">
      <x:alignment horizontal="center" vertical="center"/>
    </x:xf>
    <x:xf numFmtId="0" fontId="8" fillId="4" borderId="7" xfId="0" applyNumberFormat="1" applyFont="1" applyFill="1" applyBorder="1" applyAlignment="1">
      <x:alignment horizontal="center" vertical="center"/>
    </x:xf>
    <x:xf numFmtId="0" fontId="9" fillId="4" borderId="6" xfId="0" applyNumberFormat="1" applyFont="1" applyFill="1" applyBorder="1" applyAlignment="1">
      <x:alignment horizontal="center" vertical="center"/>
    </x:xf>
    <x:xf numFmtId="0" fontId="9" fillId="4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horizontal="center" wrapText="1"/>
    </x:xf>
    <x:xf numFmtId="0" fontId="7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13" xfId="0" applyNumberFormat="1" applyFont="1" applyFill="1" applyBorder="1"/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8734B"/>
      </x:font>
      <x:fill>
        <x:patternFill patternType="solid">
          <x:bgColor rgb="FFEAF7F0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8734B"/>
      </x:font>
      <x:fill>
        <x:patternFill patternType="solid">
          <x:bgColor rgb="FFEAF7F0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87d982b1a4003" /><Relationship Type="http://schemas.openxmlformats.org/officeDocument/2006/relationships/theme" Target="/xl/theme/theme1.xml" Id="Rbbbdaa812d10414b" /><Relationship Type="http://schemas.openxmlformats.org/officeDocument/2006/relationships/sharedStrings" Target="/xl/sharedStrings.xml" Id="R4c9ded41dd8f4b22" /><Relationship Type="http://schemas.openxmlformats.org/officeDocument/2006/relationships/worksheet" Target="/xl/worksheets/sheet1.xml" Id="Rc5491852cb3a4fea" /><Relationship Type="http://schemas.openxmlformats.org/officeDocument/2006/relationships/worksheet" Target="/xl/worksheets/sheet2.xml" Id="Rf87c27ea9b184ac6" /><Relationship Type="http://schemas.openxmlformats.org/officeDocument/2006/relationships/worksheet" Target="/xl/worksheets/sheet3.xml" Id="R40b1849c8a3a46a8" /></Relationships>
</file>

<file path=xl/tables/table1.xml><?xml version="1.0" encoding="utf-8"?>
<x:table xmlns:x="http://schemas.openxmlformats.org/spreadsheetml/2006/main" id="1" name="ApiLinksTable" displayName="ApiLinksTable" ref="A1:H16" headerRowCount="1" totalsRowCount="0" totalsRowShown="0">
  <x:tableColumns count="8">
    <x:tableColumn id="1" name="Nhóm"/>
    <x:tableColumn id="2" name="Trang cấu hình"/>
    <x:tableColumn id="3" name="Mục đích"/>
    <x:tableColumn id="4" name="Đường link"/>
    <x:tableColumn id="5" name="Giá trị / phạm vi"/>
    <x:tableColumn id="6" name="Trạng thái"/>
    <x:tableColumn id="7" name="Lưu ý vận hành"/>
    <x:tableColumn id="8" name="Tài liệu chính thứ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ChecklistTable" displayName="DomainChecklistTable" ref="A1:E9" headerRowCount="1" totalsRowCount="0" totalsRowShown="0">
  <x:tableColumns count="5">
    <x:tableColumn id="1" name="Dịch vụ"/>
    <x:tableColumn id="2" name="Trường cấu hình"/>
    <x:tableColumn id="3" name="Giá trị cần có"/>
    <x:tableColumn id="4" name="Trạng thái"/>
    <x:tableColumn id="5" name="Vị tr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d0a0c9dd94d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f6ec46ae3a48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55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2" t="str">
        <x:v>EDUMATRIX — DANH MỤC CÀI ĐẶT API</x:v>
      </x:c>
      <x:c r="B1" s="22"/>
      <x:c r="C1" s="22"/>
      <x:c r="D1" s="22"/>
      <x:c r="E1" s="22"/>
      <x:c r="F1" s="22"/>
    </x:row>
    <x:row r="2">
      <x:c r="A2" s="22"/>
      <x:c r="B2" s="22"/>
      <x:c r="C2" s="22"/>
      <x:c r="D2" s="22"/>
      <x:c r="E2" s="22"/>
      <x:c r="F2" s="22"/>
    </x:row>
    <x:row r="3" ht="30" customHeight="1">
      <x:c r="A3" s="24" t="str">
        <x:v>Tổng hợp đường dẫn quản trị, tài liệu chính thức và checklist khi thay đổi tên miền</x:v>
      </x:c>
      <x:c r="B3" s="24"/>
      <x:c r="C3" s="24"/>
      <x:c r="D3" s="24"/>
      <x:c r="E3" s="24"/>
      <x:c r="F3" s="24"/>
    </x:row>
    <x:row r="5">
      <x:c r="A5" s="39" t="str">
        <x:v>Tổng tích hợp</x:v>
      </x:c>
      <x:c r="B5" s="40" t="str">
        <x:v>Đã cấu hình</x:v>
      </x:c>
      <x:c r="D5" s="41" t="str">
        <x:v>Cần xác nhận</x:v>
      </x:c>
      <x:c r="E5" s="42" t="str">
        <x:v>Chờ bật production</x:v>
      </x:c>
    </x:row>
    <x:row r="6" ht="36" customHeight="1">
      <x:c r="A6" s="43" t="n">
        <x:f>COUNTA('Danh sách API'!A2:A16)</x:f>
        <x:v>15</x:v>
      </x:c>
      <x:c r="B6" s="44" t="n">
        <x:f>COUNTIF('Danh sách API'!F2:F16,"Đã cấu hình")</x:f>
        <x:v>6</x:v>
      </x:c>
      <x:c r="D6" s="45" t="n">
        <x:f>COUNTIF('Danh sách API'!F2:F16,"Cần xác nhận")+COUNTIF('Danh sách API'!F2:F16,"Cần xác nhận thực tế")</x:f>
        <x:v>2</x:v>
      </x:c>
      <x:c r="E6" s="46" t="n">
        <x:f>COUNTIF('Danh sách API'!F2:F16,"Chờ bật production")</x:f>
        <x:v>1</x:v>
      </x:c>
    </x:row>
    <x:row r="9" ht="28" customHeight="1">
      <x:c r="A9" s="48" t="str">
        <x:v>QUY TRÌNH KHI THÊM TÊN MIỀN MỚI</x:v>
      </x:c>
      <x:c r="B9" s="48" t="str"/>
      <x:c r="C9" s="48" t="str"/>
      <x:c r="D9" s="48" t="str"/>
      <x:c r="E9" s="48" t="str"/>
      <x:c r="F9" s="48" t="str"/>
    </x:row>
    <x:row r="10" ht="34" customHeight="1">
      <x:c r="A10" s="55" t="str">
        <x:v>1</x:v>
      </x:c>
      <x:c r="B10" s="56" t="str">
        <x:v>Firebase Hosting</x:v>
      </x:c>
      <x:c r="C10" s="57" t="str">
        <x:v>Thêm custom domain, hoàn tất DNS và SSL.</x:v>
      </x:c>
    </x:row>
    <x:row r="11" ht="34" customHeight="1">
      <x:c r="A11" s="58" t="str">
        <x:v>2</x:v>
      </x:c>
      <x:c r="B11" s="59" t="str">
        <x:v>Firebase Authentication</x:v>
      </x:c>
      <x:c r="C11" s="60" t="str">
        <x:v>Thêm hostname vào Authorized domains.</x:v>
      </x:c>
    </x:row>
    <x:row r="12" ht="34" customHeight="1">
      <x:c r="A12" s="58" t="str">
        <x:v>3</x:v>
      </x:c>
      <x:c r="B12" s="59" t="str">
        <x:v>Google OAuth + Picker API key</x:v>
      </x:c>
      <x:c r="C12" s="60" t="str">
        <x:v>Thêm JavaScript origin và HTTP referrer.</x:v>
      </x:c>
    </x:row>
    <x:row r="13" ht="34" customHeight="1">
      <x:c r="A13" s="58" t="str">
        <x:v>4</x:v>
      </x:c>
      <x:c r="B13" s="59" t="str">
        <x:v>Cloudflare Worker</x:v>
      </x:c>
      <x:c r="C13" s="60" t="str">
        <x:v>Thêm origin vào ALLOWED_ORIGIN rồi deploy production.</x:v>
      </x:c>
    </x:row>
    <x:row r="14" ht="34" customHeight="1">
      <x:c r="A14" s="61" t="str">
        <x:v>5</x:v>
      </x:c>
      <x:c r="B14" s="62" t="str">
        <x:v>reCAPTCHA + App Check</x:v>
      </x:c>
      <x:c r="C14" s="63" t="str">
        <x:v>Thêm domain, điền site key, deploy và theo dõi Metrics trước khi Enforce.</x:v>
      </x:c>
    </x:row>
    <x:row r="17">
      <x:c r="A17" s="78" t="str">
        <x:v>Bảo mật: Site key và Firebase Web API key là khóa công khai. Secret key, Page Access Token, App Secret và service-account private key tuyệt đối không đưa vào frontend hoặc bảng tính này.</x:v>
      </x:c>
      <x:c r="B17" s="79"/>
      <x:c r="C17" s="79"/>
      <x:c r="D17" s="79"/>
      <x:c r="E17" s="79"/>
      <x:c r="F17" s="80"/>
    </x:row>
    <x:row r="18">
      <x:c r="A18" s="81"/>
      <x:c r="B18" s="82"/>
      <x:c r="C18" s="82"/>
      <x:c r="D18" s="82"/>
      <x:c r="E18" s="82"/>
      <x:c r="F18" s="83"/>
    </x:row>
  </x:sheetData>
  <x:mergeCells>
    <x:mergeCell ref="A1:F2"/>
    <x:mergeCell ref="A3:F3"/>
    <x:mergeCell ref="A9:F9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34" hidden="0" customWidth="1"/>
    <x:col min="4" max="4" width="54" hidden="0" customWidth="1"/>
    <x:col min="5" max="5" width="43" hidden="0" customWidth="1"/>
    <x:col min="6" max="6" width="22" hidden="0" customWidth="1"/>
    <x:col min="7" max="7" width="48" hidden="0" customWidth="1"/>
    <x:col min="8" max="8" width="48" hidden="0" customWidth="1"/>
  </x:cols>
  <x:sheetData>
    <x:row r="1" ht="32" customHeight="1">
      <x:c r="A1" s="3" t="str">
        <x:v>Nhóm</x:v>
      </x:c>
      <x:c r="B1" s="3" t="str">
        <x:v>Trang cấu hình</x:v>
      </x:c>
      <x:c r="C1" s="3" t="str">
        <x:v>Mục đích</x:v>
      </x:c>
      <x:c r="D1" s="3" t="str">
        <x:v>Đường link</x:v>
      </x:c>
      <x:c r="E1" s="3" t="str">
        <x:v>Giá trị / phạm vi</x:v>
      </x:c>
      <x:c r="F1" s="3" t="str">
        <x:v>Trạng thái</x:v>
      </x:c>
      <x:c r="G1" s="3" t="str">
        <x:v>Lưu ý vận hành</x:v>
      </x:c>
      <x:c r="H1" s="3" t="str">
        <x:v>Tài liệu chính thức</x:v>
      </x:c>
    </x:row>
    <x:row r="2" ht="52" customHeight="1">
      <x:c r="A2" s="14" t="str">
        <x:v>Firebase</x:v>
      </x:c>
      <x:c r="B2" s="11" t="str">
        <x:v>Firebase Console – dự án Edumatrix</x:v>
      </x:c>
      <x:c r="C2" s="11" t="str">
        <x:v>Quản trị tổng thể dự án Firebase</x:v>
      </x:c>
      <x:c r="D2" s="17" t="str">
        <x:v>https://console.firebase.google.com/project/edumatrix-vn-576b1/overview</x:v>
      </x:c>
      <x:c r="E2" s="11" t="str">
        <x:v>edumatrix-vn-576b1</x:v>
      </x:c>
      <x:c r="F2" s="11" t="str">
        <x:v>Đang dùng</x:v>
      </x:c>
      <x:c r="G2" s="11" t="str">
        <x:v>Chọn đúng project trước khi thay đổi cấu hình.</x:v>
      </x:c>
      <x:c r="H2" s="17" t="str">
        <x:v>https://firebase.google.com/docs</x:v>
      </x:c>
    </x:row>
    <x:row r="3" ht="52" customHeight="1">
      <x:c r="A3" s="15" t="str">
        <x:v>Firebase Hosting</x:v>
      </x:c>
      <x:c r="B3" s="12" t="str">
        <x:v>Custom domains</x:v>
      </x:c>
      <x:c r="C3" s="12" t="str">
        <x:v>Tên miền, DNS và chứng chỉ SSL</x:v>
      </x:c>
      <x:c r="D3" s="18" t="str">
        <x:v>https://console.firebase.google.com/project/edumatrix-vn-576b1/hosting/main</x:v>
      </x:c>
      <x:c r="E3" s="12" t="str">
        <x:v>edumatrix.id.vn</x:v>
      </x:c>
      <x:c r="F3" s="12" t="str">
        <x:v>Đã cấu hình</x:v>
      </x:c>
      <x:c r="G3" s="12" t="str">
        <x:v>Theo dõi trạng thái HOST_ACTIVE và CERT_ACTIVE.</x:v>
      </x:c>
      <x:c r="H3" s="18" t="str">
        <x:v>https://firebase.google.com/docs/hosting/custom-domain</x:v>
      </x:c>
    </x:row>
    <x:row r="4" ht="52" customHeight="1">
      <x:c r="A4" s="15" t="str">
        <x:v>Firebase Authentication</x:v>
      </x:c>
      <x:c r="B4" s="12" t="str">
        <x:v>Authorized domains</x:v>
      </x:c>
      <x:c r="C4" s="12" t="str">
        <x:v>Cho phép đăng nhập từ domain production</x:v>
      </x:c>
      <x:c r="D4" s="18" t="str">
        <x:v>https://console.firebase.google.com/project/edumatrix-vn-576b1/authentication/settings</x:v>
      </x:c>
      <x:c r="E4" s="12" t="str">
        <x:v>edumatrix.id.vn</x:v>
      </x:c>
      <x:c r="F4" s="12" t="str">
        <x:v>Đã cấu hình</x:v>
      </x:c>
      <x:c r="G4" s="12" t="str">
        <x:v>Chỉ nhập hostname, không nhập https:// hoặc đường dẫn.</x:v>
      </x:c>
      <x:c r="H4" s="18" t="str">
        <x:v>https://firebase.google.com/docs/auth/web/google-signin</x:v>
      </x:c>
    </x:row>
    <x:row r="5" ht="52" customHeight="1">
      <x:c r="A5" s="15" t="str">
        <x:v>Cloud Firestore</x:v>
      </x:c>
      <x:c r="B5" s="12" t="str">
        <x:v>Firestore Database</x:v>
      </x:c>
      <x:c r="C5" s="12" t="str">
        <x:v>Dữ liệu nghiệp vụ của hệ thống</x:v>
      </x:c>
      <x:c r="D5" s="18" t="str">
        <x:v>https://console.firebase.google.com/project/edumatrix-vn-576b1/firestore</x:v>
      </x:c>
      <x:c r="E5" s="12" t="str">
        <x:v>(default)</x:v>
      </x:c>
      <x:c r="F5" s="12" t="str">
        <x:v>Đang dùng</x:v>
      </x:c>
      <x:c r="G5" s="12" t="str">
        <x:v>Quản lý dữ liệu, indexes và theo dõi sử dụng.</x:v>
      </x:c>
      <x:c r="H5" s="18" t="str">
        <x:v>https://firebase.google.com/docs/firestore</x:v>
      </x:c>
    </x:row>
    <x:row r="6" ht="52" customHeight="1">
      <x:c r="A6" s="15" t="str">
        <x:v>Cloud Firestore</x:v>
      </x:c>
      <x:c r="B6" s="12" t="str">
        <x:v>Security Rules</x:v>
      </x:c>
      <x:c r="C6" s="12" t="str">
        <x:v>Phân quyền và kiểm tra dữ liệu</x:v>
      </x:c>
      <x:c r="D6" s="18" t="str">
        <x:v>https://console.firebase.google.com/project/edumatrix-vn-576b1/firestore/rules</x:v>
      </x:c>
      <x:c r="E6" s="12" t="str">
        <x:v>firebase/firestore.rules</x:v>
      </x:c>
      <x:c r="F6" s="12" t="str">
        <x:v>Đang dùng</x:v>
      </x:c>
      <x:c r="G6" s="12" t="str">
        <x:v>Ưu tiên deploy rules từ source code để tránh lệch cấu hình.</x:v>
      </x:c>
      <x:c r="H6" s="18" t="str">
        <x:v>https://firebase.google.com/docs/firestore/security/get-started</x:v>
      </x:c>
    </x:row>
    <x:row r="7" ht="52" customHeight="1">
      <x:c r="A7" s="15" t="str">
        <x:v>Firebase App Check</x:v>
      </x:c>
      <x:c r="B7" s="12" t="str">
        <x:v>App Check</x:v>
      </x:c>
      <x:c r="C7" s="12" t="str">
        <x:v>Bảo vệ request Firebase từ frontend</x:v>
      </x:c>
      <x:c r="D7" s="18" t="str">
        <x:v>https://console.firebase.google.com/project/edumatrix-vn-576b1/appcheck</x:v>
      </x:c>
      <x:c r="E7" s="12" t="str">
        <x:v>Web app 1:87387037612:web:a989627388655e1c8aa409</x:v>
      </x:c>
      <x:c r="F7" s="12" t="str">
        <x:v>Chờ bật production</x:v>
      </x:c>
      <x:c r="G7" s="12" t="str">
        <x:v>Điền VITE_APPCHECK_SITE_KEY, deploy, theo dõi Metrics rồi mới Enforce.</x:v>
      </x:c>
      <x:c r="H7" s="18" t="str">
        <x:v>https://firebase.google.com/docs/app-check/web/recaptcha-provider</x:v>
      </x:c>
    </x:row>
    <x:row r="8" ht="52" customHeight="1">
      <x:c r="A8" s="15" t="str">
        <x:v>Google reCAPTCHA</x:v>
      </x:c>
      <x:c r="B8" s="12" t="str">
        <x:v>reCAPTCHA Admin Console</x:v>
      </x:c>
      <x:c r="C8" s="12" t="str">
        <x:v>Quản lý reCAPTCHA v3 site key và domain</x:v>
      </x:c>
      <x:c r="D8" s="18" t="str">
        <x:v>https://www.google.com/recaptcha/admin</x:v>
      </x:c>
      <x:c r="E8" s="12" t="str">
        <x:v>edumatrix.id.vn</x:v>
      </x:c>
      <x:c r="F8" s="12" t="str">
        <x:v>Cần xác nhận</x:v>
      </x:c>
      <x:c r="G8" s="12" t="str">
        <x:v>Không đưa Secret key vào frontend; chỉ Site key được dùng trong .env.real.</x:v>
      </x:c>
      <x:c r="H8" s="18" t="str">
        <x:v>https://developers.google.com/recaptcha/docs/v3</x:v>
      </x:c>
    </x:row>
    <x:row r="9" ht="52" customHeight="1">
      <x:c r="A9" s="15" t="str">
        <x:v>Google Cloud</x:v>
      </x:c>
      <x:c r="B9" s="12" t="str">
        <x:v>Credentials</x:v>
      </x:c>
      <x:c r="C9" s="12" t="str">
        <x:v>Quản lý OAuth Client và API key</x:v>
      </x:c>
      <x:c r="D9" s="18" t="str">
        <x:v>https://console.cloud.google.com/apis/credentials?project=598498866434</x:v>
      </x:c>
      <x:c r="E9" s="12" t="str">
        <x:v>Project number 598498866434</x:v>
      </x:c>
      <x:c r="F9" s="12" t="str">
        <x:v>Đã cấu hình</x:v>
      </x:c>
      <x:c r="G9" s="12" t="str">
        <x:v>Kiểm tra đúng Google Cloud project trước khi sửa.</x:v>
      </x:c>
      <x:c r="H9" s="18" t="str">
        <x:v>https://cloud.google.com/docs/authentication/api-keys</x:v>
      </x:c>
    </x:row>
    <x:row r="10" ht="52" customHeight="1">
      <x:c r="A10" s="15" t="str">
        <x:v>Google OAuth</x:v>
      </x:c>
      <x:c r="B10" s="12" t="str">
        <x:v>OAuth 2.0 Client ID</x:v>
      </x:c>
      <x:c r="C10" s="12" t="str">
        <x:v>Cấp quyền Google Drive cho người dùng</x:v>
      </x:c>
      <x:c r="D10" s="18" t="str">
        <x:v>https://console.cloud.google.com/apis/credentials?project=598498866434</x:v>
      </x:c>
      <x:c r="E10" s="12" t="str">
        <x:v>Authorized JavaScript origin: https://edumatrix.id.vn</x:v>
      </x:c>
      <x:c r="F10" s="12" t="str">
        <x:v>Cần xác nhận thực tế</x:v>
      </x:c>
      <x:c r="G10" s="12" t="str">
        <x:v>Thử đăng nhập Google và mở Google Drive Picker trên domain production.</x:v>
      </x:c>
      <x:c r="H10" s="18" t="str">
        <x:v>https://developers.google.com/identity/oauth2/web/guides/overview</x:v>
      </x:c>
    </x:row>
    <x:row r="11" ht="52" customHeight="1">
      <x:c r="A11" s="15" t="str">
        <x:v>Google APIs</x:v>
      </x:c>
      <x:c r="B11" s="12" t="str">
        <x:v>Enabled APIs &amp; services</x:v>
      </x:c>
      <x:c r="C11" s="12" t="str">
        <x:v>Bật Google Drive API và Google Picker API</x:v>
      </x:c>
      <x:c r="D11" s="18" t="str">
        <x:v>https://console.cloud.google.com/apis/dashboard?project=598498866434</x:v>
      </x:c>
      <x:c r="E11" s="12" t="str">
        <x:v>drive.googleapis.com; picker.googleapis.com</x:v>
      </x:c>
      <x:c r="F11" s="12" t="str">
        <x:v>Đã cấu hình</x:v>
      </x:c>
      <x:c r="G11" s="12" t="str">
        <x:v>Không tắt hai API này khi dọn project.</x:v>
      </x:c>
      <x:c r="H11" s="18" t="str">
        <x:v>https://console.cloud.google.com/apis/library</x:v>
      </x:c>
    </x:row>
    <x:row r="12" ht="52" customHeight="1">
      <x:c r="A12" s="15" t="str">
        <x:v>Google API Key</x:v>
      </x:c>
      <x:c r="B12" s="12" t="str">
        <x:v>EduMatrix Production Picker Key</x:v>
      </x:c>
      <x:c r="C12" s="12" t="str">
        <x:v>Giới hạn API key theo website</x:v>
      </x:c>
      <x:c r="D12" s="18" t="str">
        <x:v>https://console.cloud.google.com/apis/credentials?project=598498866434</x:v>
      </x:c>
      <x:c r="E12" s="12" t="str">
        <x:v>https://edumatrix.id.vn; https://edumatrix.id.vn/*</x:v>
      </x:c>
      <x:c r="F12" s="12" t="str">
        <x:v>Đã cấu hình</x:v>
      </x:c>
      <x:c r="G12" s="12" t="str">
        <x:v>Giữ cả Firebase domains và localhost phục vụ phát triển.</x:v>
      </x:c>
      <x:c r="H12" s="18" t="str">
        <x:v>https://cloud.google.com/docs/authentication/api-keys</x:v>
      </x:c>
    </x:row>
    <x:row r="13" ht="52" customHeight="1">
      <x:c r="A13" s="15" t="str">
        <x:v>Cloudflare</x:v>
      </x:c>
      <x:c r="B13" s="12" t="str">
        <x:v>Workers &amp; Pages</x:v>
      </x:c>
      <x:c r="C13" s="12" t="str">
        <x:v>Quản trị Messenger Worker production</x:v>
      </x:c>
      <x:c r="D13" s="18" t="str">
        <x:v>https://dash.cloudflare.com/</x:v>
      </x:c>
      <x:c r="E13" s="12" t="str">
        <x:v>edumatrix-messenger-production</x:v>
      </x:c>
      <x:c r="F13" s="12" t="str">
        <x:v>Đã cấu hình</x:v>
      </x:c>
      <x:c r="G13" s="12" t="str">
        <x:v>ALLOWED_ORIGIN phải chứa domain Firebase cũ và edumatrix.id.vn.</x:v>
      </x:c>
      <x:c r="H13" s="18" t="str">
        <x:v>https://developers.cloudflare.com/workers/</x:v>
      </x:c>
    </x:row>
    <x:row r="14" ht="52" customHeight="1">
      <x:c r="A14" s="15" t="str">
        <x:v>Meta</x:v>
      </x:c>
      <x:c r="B14" s="12" t="str">
        <x:v>Meta for Developers – Apps</x:v>
      </x:c>
      <x:c r="C14" s="12" t="str">
        <x:v>Quản lý Messenger Platform, Page token và webhook</x:v>
      </x:c>
      <x:c r="D14" s="18" t="str">
        <x:v>https://developers.facebook.com/apps/</x:v>
      </x:c>
      <x:c r="E14" s="12" t="str">
        <x:v>Webhook Worker: /webhook</x:v>
      </x:c>
      <x:c r="F14" s="12" t="str">
        <x:v>Đang dùng</x:v>
      </x:c>
      <x:c r="G14" s="12" t="str">
        <x:v>Không lưu Page Access Token hoặc App Secret trong frontend.</x:v>
      </x:c>
      <x:c r="H14" s="18" t="str">
        <x:v>https://developers.facebook.com/docs/messenger-platform/</x:v>
      </x:c>
    </x:row>
    <x:row r="15" ht="52" customHeight="1">
      <x:c r="A15" s="15" t="str">
        <x:v>VietQR</x:v>
      </x:c>
      <x:c r="B15" s="12" t="str">
        <x:v>VietQR API</x:v>
      </x:c>
      <x:c r="C15" s="12" t="str">
        <x:v>Danh sách ngân hàng và tạo mã QR thanh toán</x:v>
      </x:c>
      <x:c r="D15" s="18" t="str">
        <x:v>https://api.vietqr.io/</x:v>
      </x:c>
      <x:c r="E15" s="12" t="str">
        <x:v>api.vietqr.io; img.vietqr.io</x:v>
      </x:c>
      <x:c r="F15" s="12" t="str">
        <x:v>Đang dùng</x:v>
      </x:c>
      <x:c r="G15" s="12" t="str">
        <x:v>API công khai; không cần thêm domain vào allowlist hiện tại.</x:v>
      </x:c>
      <x:c r="H15" s="18" t="str">
        <x:v>https://www.vietqr.io/danh-sach-api</x:v>
      </x:c>
    </x:row>
    <x:row r="16" ht="52" customHeight="1">
      <x:c r="A16" s="16" t="str">
        <x:v>Open-Meteo</x:v>
      </x:c>
      <x:c r="B16" s="13" t="str">
        <x:v>Weather Forecast API</x:v>
      </x:c>
      <x:c r="C16" s="13" t="str">
        <x:v>Dữ liệu thời tiết trên dashboard</x:v>
      </x:c>
      <x:c r="D16" s="19" t="str">
        <x:v>https://open-meteo.com/en/docs</x:v>
      </x:c>
      <x:c r="E16" s="13" t="str">
        <x:v>api.open-meteo.com/v1/forecast</x:v>
      </x:c>
      <x:c r="F16" s="13" t="str">
        <x:v>Đang dùng</x:v>
      </x:c>
      <x:c r="G16" s="13" t="str">
        <x:v>API công khai; theo dõi điều khoản sử dụng nếu tăng lưu lượng.</x:v>
      </x:c>
      <x:c r="H16" s="19" t="str">
        <x:v>https://open-meteo.com/en/docs</x:v>
      </x:c>
    </x:row>
  </x:sheetData>
  <x:conditionalFormatting sqref="F2:F16">
    <x:cfRule type="containsText" dxfId="0" priority="1" operator="containsText" text="Đã cấu hình"/>
    <x:cfRule type="containsText" dxfId="1" priority="2" operator="containsText" text="Cần"/>
    <x:cfRule type="containsText" dxfId="2" priority="3" operator="containsText" text="Chờ"/>
  </x:conditionalFormatting>
  <x:dataValidations count="1">
    <x:dataValidation type="list" sqref="F2:F16">
      <x:formula1>"Đã cấu hình,Đang dùng,Cần xác nhận,Cần xác nhận thực tế,Chờ bật production,Chưa cấu hình"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3d0a0c9dd94d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1" hidden="0" customWidth="1"/>
    <x:col min="3" max="3" width="62" hidden="0" customWidth="1"/>
    <x:col min="4" max="4" width="23" hidden="0" customWidth="1"/>
    <x:col min="5" max="5" width="47" hidden="0" customWidth="1"/>
  </x:cols>
  <x:sheetData>
    <x:row r="1" ht="32" customHeight="1">
      <x:c r="A1" s="2" t="str">
        <x:v>Dịch vụ</x:v>
      </x:c>
      <x:c r="B1" s="2" t="str">
        <x:v>Trường cấu hình</x:v>
      </x:c>
      <x:c r="C1" s="2" t="str">
        <x:v>Giá trị cần có</x:v>
      </x:c>
      <x:c r="D1" s="2" t="str">
        <x:v>Trạng thái</x:v>
      </x:c>
      <x:c r="E1" s="2" t="str">
        <x:v>Vị trí</x:v>
      </x:c>
    </x:row>
    <x:row r="2" ht="46" customHeight="1">
      <x:c r="A2" s="11" t="str">
        <x:v>Firebase Hosting</x:v>
      </x:c>
      <x:c r="B2" s="11" t="str">
        <x:v>Custom domain</x:v>
      </x:c>
      <x:c r="C2" s="11" t="str">
        <x:v>edumatrix.id.vn</x:v>
      </x:c>
      <x:c r="D2" s="11" t="str">
        <x:v>Đã cấu hình</x:v>
      </x:c>
      <x:c r="E2" s="11" t="str">
        <x:v>Firebase Console → Hosting</x:v>
      </x:c>
    </x:row>
    <x:row r="3" ht="46" customHeight="1">
      <x:c r="A3" s="12" t="str">
        <x:v>Firebase Authentication</x:v>
      </x:c>
      <x:c r="B3" s="12" t="str">
        <x:v>Authorized domain</x:v>
      </x:c>
      <x:c r="C3" s="12" t="str">
        <x:v>edumatrix.id.vn</x:v>
      </x:c>
      <x:c r="D3" s="12" t="str">
        <x:v>Đã cấu hình</x:v>
      </x:c>
      <x:c r="E3" s="12" t="str">
        <x:v>Firebase Console → Authentication → Settings</x:v>
      </x:c>
    </x:row>
    <x:row r="4" ht="46" customHeight="1">
      <x:c r="A4" s="12" t="str">
        <x:v>Google OAuth</x:v>
      </x:c>
      <x:c r="B4" s="12" t="str">
        <x:v>Authorized JavaScript origin</x:v>
      </x:c>
      <x:c r="C4" s="12" t="str">
        <x:v>https://edumatrix.id.vn</x:v>
      </x:c>
      <x:c r="D4" s="12" t="str">
        <x:v>Cần xác nhận thực tế</x:v>
      </x:c>
      <x:c r="E4" s="12" t="str">
        <x:v>Google Cloud → Credentials → OAuth Client</x:v>
      </x:c>
    </x:row>
    <x:row r="5" ht="46" customHeight="1">
      <x:c r="A5" s="12" t="str">
        <x:v>Google Picker API key</x:v>
      </x:c>
      <x:c r="B5" s="12" t="str">
        <x:v>Website restriction</x:v>
      </x:c>
      <x:c r="C5" s="12" t="str">
        <x:v>https://edumatrix.id.vn</x:v>
      </x:c>
      <x:c r="D5" s="12" t="str">
        <x:v>Đã cấu hình</x:v>
      </x:c>
      <x:c r="E5" s="12" t="str">
        <x:v>Google Cloud → Credentials → API key</x:v>
      </x:c>
    </x:row>
    <x:row r="6" ht="46" customHeight="1">
      <x:c r="A6" s="12" t="str">
        <x:v>Google Picker API key</x:v>
      </x:c>
      <x:c r="B6" s="12" t="str">
        <x:v>Website restriction wildcard</x:v>
      </x:c>
      <x:c r="C6" s="12" t="str">
        <x:v>https://edumatrix.id.vn/*</x:v>
      </x:c>
      <x:c r="D6" s="12" t="str">
        <x:v>Đã cấu hình</x:v>
      </x:c>
      <x:c r="E6" s="12" t="str">
        <x:v>Google Cloud → Credentials → API key</x:v>
      </x:c>
    </x:row>
    <x:row r="7" ht="46" customHeight="1">
      <x:c r="A7" s="12" t="str">
        <x:v>Cloudflare Worker</x:v>
      </x:c>
      <x:c r="B7" s="12" t="str">
        <x:v>ALLOWED_ORIGIN</x:v>
      </x:c>
      <x:c r="C7" s="12" t="str">
        <x:v>https://edumatrix-vn-576b1.web.app,https://edumatrix.id.vn</x:v>
      </x:c>
      <x:c r="D7" s="12" t="str">
        <x:v>Đã cấu hình</x:v>
      </x:c>
      <x:c r="E7" s="12" t="str">
        <x:v>workers/messenger/wrangler.jsonc</x:v>
      </x:c>
    </x:row>
    <x:row r="8" ht="46" customHeight="1">
      <x:c r="A8" s="12" t="str">
        <x:v>reCAPTCHA v3</x:v>
      </x:c>
      <x:c r="B8" s="12" t="str">
        <x:v>Allowed domain</x:v>
      </x:c>
      <x:c r="C8" s="12" t="str">
        <x:v>edumatrix.id.vn</x:v>
      </x:c>
      <x:c r="D8" s="12" t="str">
        <x:v>Cần xác nhận</x:v>
      </x:c>
      <x:c r="E8" s="12" t="str">
        <x:v>reCAPTCHA Admin Console → Settings</x:v>
      </x:c>
    </x:row>
    <x:row r="9" ht="46" customHeight="1">
      <x:c r="A9" s="13" t="str">
        <x:v>Firebase App Check</x:v>
      </x:c>
      <x:c r="B9" s="13" t="str">
        <x:v>Frontend site key</x:v>
      </x:c>
      <x:c r="C9" s="13" t="str">
        <x:v>VITE_APPCHECK_SITE_KEY=&lt;site key&gt;</x:v>
      </x:c>
      <x:c r="D9" s="13" t="str">
        <x:v>Chờ bật production</x:v>
      </x:c>
      <x:c r="E9" s="13" t="str">
        <x:v>.env.real</x:v>
      </x:c>
    </x:row>
  </x:sheetData>
  <x:conditionalFormatting sqref="D2:D9">
    <x:cfRule type="containsText" dxfId="3" priority="1" operator="containsText" text="Đã cấu hình"/>
    <x:cfRule type="containsText" dxfId="4" priority="2" operator="containsText" text="Cần"/>
    <x:cfRule type="containsText" dxfId="5" priority="3" operator="containsText" text="Chờ"/>
  </x:conditionalFormatting>
  <x:pageMargins left="0.7" right="0.7" top="0.75" bottom="0.75" header="0.3" footer="0.3"/>
  <x:tableParts count="1">
    <x:tablePart xmlns:r="http://schemas.openxmlformats.org/officeDocument/2006/relationships" r:id="R9af6ec46ae3a481b"/>
  </x:tableParts>
</x:worksheet>
</file>