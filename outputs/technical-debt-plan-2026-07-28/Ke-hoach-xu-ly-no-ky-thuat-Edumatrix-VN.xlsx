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50c59a192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cc0181165a414f2b"/>
    <x:sheet xmlns:r="http://schemas.openxmlformats.org/officeDocument/2006/relationships" name="Kế hoạch nợ kỹ thuật" sheetId="2" r:id="R69455ced4ede4dcb"/>
    <x:sheet xmlns:r="http://schemas.openxmlformats.org/officeDocument/2006/relationships" name="Thay đổi Frontend" sheetId="3" r:id="R1d1a6dd22aa948ae"/>
    <x:sheet xmlns:r="http://schemas.openxmlformats.org/officeDocument/2006/relationships" name="Hướng dẫn" sheetId="4" r:id="Raf51308870c0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17324D"/>
      <x:name val="Carlito"/>
    </x:font>
    <x:font>
      <x:b/>
      <x:sz val="14"/>
      <x:color rgb="FF2563EB"/>
      <x:name val="Carlito"/>
    </x:font>
    <x:font>
      <x:b/>
      <x:sz val="14"/>
      <x:color rgb="FF16835D"/>
      <x:name val="Carlito"/>
    </x:font>
    <x:font>
      <x:b/>
      <x:sz val="11"/>
      <x:color rgb="FFB76E00"/>
      <x:name val="Carlito"/>
    </x:font>
    <x:font>
      <x:sz val="11"/>
      <x:color rgb="FF17324D"/>
      <x:name val="Carlito"/>
    </x:font>
    <x:font>
      <x:b/>
      <x:sz val="18"/>
      <x:color rgb="FFFFFFFF"/>
      <x:name val="Aptos"/>
    </x:font>
    <x:font>
      <x:i/>
      <x:sz val="10"/>
      <x:color rgb="FF17324D"/>
      <x:name val="Aptos"/>
    </x:font>
    <x:font>
      <x:sz val="11"/>
      <x:name val="Aptos"/>
    </x:font>
    <x:font>
      <x:b/>
      <x:sz val="11"/>
      <x:color rgb="FF17324D"/>
      <x:name val="Aptos"/>
    </x:font>
    <x:font>
      <x:b/>
      <x:sz val="14"/>
      <x:color rgb="FF2563EB"/>
      <x:name val="Aptos"/>
    </x:font>
    <x:font>
      <x:b/>
      <x:sz val="14"/>
      <x:color rgb="FF16835D"/>
      <x:name val="Aptos"/>
    </x:font>
    <x:font>
      <x:b/>
      <x:sz val="11"/>
      <x:color rgb="FFB76E00"/>
      <x:name val="Aptos"/>
    </x:font>
    <x:font>
      <x:sz val="11"/>
      <x:color rgb="FF17324D"/>
      <x:name val="Aptos"/>
    </x:font>
    <x:font>
      <x:b/>
      <x:sz val="10"/>
      <x:color rgb="FFFFFFFF"/>
      <x:name val="Carlito"/>
    </x:font>
    <x:font>
      <x:sz val="9"/>
      <x:color rgb="FF233242"/>
      <x:name val="Aptos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F4F6F8"/>
      </x:patternFill>
    </x:fill>
    <x:fill>
      <x:patternFill patternType="solid">
        <x:fgColor rgb="FFE9F8F1"/>
      </x:patternFill>
    </x:fill>
    <x:fill>
      <x:patternFill patternType="solid">
        <x:fgColor rgb="FFFFF4DB"/>
      </x:patternFill>
    </x:fill>
    <x:fill>
      <x:patternFill patternType="solid">
        <x:fgColor rgb="FF2563EB"/>
      </x:patternFill>
    </x:fill>
  </x:fills>
  <x:borders count="12">
    <x:border/>
    <x:border>
      <x:left style="thin">
        <x:color rgb="FFD9E0E7"/>
      </x:left>
      <x:top style="thin">
        <x:color rgb="FFD9E0E7"/>
      </x:top>
    </x:border>
    <x:border>
      <x:right style="thin">
        <x:color rgb="FFD9E0E7"/>
      </x:right>
      <x:top style="thin">
        <x:color rgb="FFD9E0E7"/>
      </x:top>
    </x:border>
    <x:border>
      <x:left style="thin">
        <x:color rgb="FFD9E0E7"/>
      </x:left>
    </x:border>
    <x:border>
      <x:right style="thin">
        <x:color rgb="FFD9E0E7"/>
      </x:right>
    </x:border>
    <x:border>
      <x:left style="thin">
        <x:color rgb="FFD9E0E7"/>
      </x:left>
      <x:bottom style="thin">
        <x:color rgb="FFD9E0E7"/>
      </x:bottom>
    </x:border>
    <x:border>
      <x:right style="thin">
        <x:color rgb="FFD9E0E7"/>
      </x:right>
      <x:bottom style="thin">
        <x:color rgb="FFD9E0E7"/>
      </x:bottom>
    </x:border>
    <x:border>
      <x:left style="thin">
        <x:color rgb="FFD9E0E7"/>
      </x:left>
      <x:top style="thin">
        <x:color rgb="FFD9E0E7"/>
      </x:top>
      <x:bottom style="thin">
        <x:color rgb="FFD9E0E7"/>
      </x:bottom>
    </x:border>
    <x:border>
      <x:top style="thin">
        <x:color rgb="FFD9E0E7"/>
      </x:top>
      <x:bottom style="thin">
        <x:color rgb="FFD9E0E7"/>
      </x:bottom>
    </x:border>
    <x:border>
      <x:right style="thin">
        <x:color rgb="FFD9E0E7"/>
      </x:right>
      <x:top style="thin">
        <x:color rgb="FFD9E0E7"/>
      </x:top>
      <x:bottom style="thin">
        <x:color rgb="FFD9E0E7"/>
      </x:bottom>
    </x:border>
    <x:border>
      <x:bottom style="thin">
        <x:color rgb="FFD9E0E7"/>
      </x:bottom>
    </x:border>
    <x:border>
      <x:top style="thin">
        <x:color rgb="FFD9E0E7"/>
      </x:top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5" xfId="0" applyNumberFormat="1" applyFont="1" applyFill="1" applyBorder="1"/>
    <x:xf numFmtId="0" fontId="3" fillId="5" borderId="1" xfId="0" applyNumberFormat="1" applyFont="1" applyFill="1" applyBorder="1"/>
    <x:xf numFmtId="0" fontId="3" fillId="5" borderId="3" xfId="0" applyNumberFormat="1" applyFont="1" applyFill="1" applyBorder="1"/>
    <x:xf numFmtId="0" fontId="3" fillId="5" borderId="5" xfId="0" applyNumberFormat="1" applyFont="1" applyFill="1" applyBorder="1"/>
    <x:xf numFmtId="0" fontId="4" fillId="4" borderId="2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1" fontId="4" fillId="4" borderId="4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/>
    <x:xf numFmtId="0" fontId="5" fillId="5" borderId="4" xfId="0" applyNumberFormat="1" applyFont="1" applyFill="1" applyBorder="1"/>
    <x:xf numFmtId="0" fontId="5" fillId="5" borderId="6" xfId="0" applyNumberFormat="1" applyFont="1" applyFill="1" applyBorder="1"/>
    <x:xf numFmtId="200" fontId="5" fillId="5" borderId="2" xfId="0" applyNumberFormat="1" applyFont="1" applyFill="1" applyBorder="1"/>
    <x:xf numFmtId="200" fontId="5" fillId="5" borderId="4" xfId="0" applyNumberFormat="1" applyFont="1" applyFill="1" applyBorder="1"/>
    <x:xf numFmtId="200" fontId="5" fillId="5" borderId="6" xfId="0" applyNumberFormat="1" applyFont="1" applyFill="1" applyBorder="1"/>
    <x:xf numFmtId="200" fontId="5" fillId="5" borderId="2" xfId="0" applyNumberFormat="1" applyFont="1" applyFill="1" applyBorder="1" applyAlignment="1">
      <x:alignment horizontal="center"/>
    </x:xf>
    <x:xf numFmtId="200" fontId="5" fillId="5" borderId="4" xfId="0" applyNumberFormat="1" applyFont="1" applyFill="1" applyBorder="1" applyAlignment="1">
      <x:alignment horizontal="center"/>
    </x:xf>
    <x:xf numFmtId="200" fontId="5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/>
    <x:xf numFmtId="200" fontId="12" fillId="4" borderId="2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/>
    <x:xf numFmtId="200" fontId="13" fillId="5" borderId="2" xfId="0" applyNumberFormat="1" applyFont="1" applyFill="1" applyBorder="1" applyAlignment="1">
      <x:alignment horizontal="center"/>
    </x:xf>
    <x:xf numFmtId="0" fontId="11" fillId="4" borderId="3" xfId="0" applyNumberFormat="1" applyFont="1" applyFill="1" applyBorder="1"/>
    <x:xf numFmtId="200" fontId="12" fillId="4" borderId="4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/>
    <x:xf numFmtId="200" fontId="13" fillId="5" borderId="4" xfId="0" applyNumberFormat="1" applyFont="1" applyFill="1" applyBorder="1" applyAlignment="1">
      <x:alignment horizontal="center"/>
    </x:xf>
    <x:xf numFmtId="201" fontId="12" fillId="4" borderId="4" xfId="0" applyNumberFormat="1" applyFont="1" applyFill="1" applyBorder="1" applyAlignment="1">
      <x:alignment horizontal="center"/>
    </x:xf>
    <x:xf numFmtId="0" fontId="11" fillId="5" borderId="5" xfId="0" applyNumberFormat="1" applyFont="1" applyFill="1" applyBorder="1"/>
    <x:xf numFmtId="200" fontId="13" fillId="5" borderId="6" xfId="0" applyNumberFormat="1" applyFont="1" applyFill="1" applyBorder="1" applyAlignment="1">
      <x:alignment horizontal="center"/>
    </x:xf>
    <x:xf numFmtId="0" fontId="11" fillId="4" borderId="5" xfId="0" applyNumberFormat="1" applyFont="1" applyFill="1" applyBorder="1"/>
    <x:xf numFmtId="200" fontId="12" fillId="4" borderId="6" xfId="0" applyNumberFormat="1" applyFont="1" applyFill="1" applyBorder="1" applyAlignment="1">
      <x:alignment horizontal="center"/>
    </x:xf>
    <x:xf numFmtId="0" fontId="14" fillId="6" borderId="0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6" fillId="7" borderId="0" xfId="0" applyNumberFormat="1" applyFont="1" applyFill="1" applyBorder="1"/>
    <x:xf numFmtId="0" fontId="16" fillId="7" borderId="7" xfId="0" applyNumberFormat="1" applyFont="1" applyFill="1" applyBorder="1"/>
    <x:xf numFmtId="0" fontId="16" fillId="7" borderId="8" xfId="0" applyNumberFormat="1" applyFont="1" applyFill="1" applyBorder="1"/>
    <x:xf numFmtId="0" fontId="16" fillId="7" borderId="9" xfId="0" applyNumberFormat="1" applyFont="1" applyFill="1" applyBorder="1"/>
    <x:xf numFmtId="0" fontId="16" fillId="7" borderId="7" xfId="0" applyNumberFormat="1" applyFont="1" applyFill="1" applyBorder="1" applyAlignment="1">
      <x:alignment wrapText="1"/>
    </x:xf>
    <x:xf numFmtId="0" fontId="16" fillId="7" borderId="8" xfId="0" applyNumberFormat="1" applyFont="1" applyFill="1" applyBorder="1" applyAlignment="1">
      <x:alignment wrapText="1"/>
    </x:xf>
    <x:xf numFmtId="0" fontId="16" fillId="7" borderId="9" xfId="0" applyNumberFormat="1" applyFont="1" applyFill="1" applyBorder="1" applyAlignment="1">
      <x:alignment wrapText="1"/>
    </x:xf>
    <x:xf numFmtId="0" fontId="16" fillId="7" borderId="7" xfId="0" applyNumberFormat="1" applyFont="1" applyFill="1" applyBorder="1" applyAlignment="1">
      <x:alignment vertical="center" wrapText="1"/>
    </x:xf>
    <x:xf numFmtId="0" fontId="16" fillId="7" borderId="8" xfId="0" applyNumberFormat="1" applyFont="1" applyFill="1" applyBorder="1" applyAlignment="1">
      <x:alignment vertical="center" wrapText="1"/>
    </x:xf>
    <x:xf numFmtId="0" fontId="16" fillId="7" borderId="9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10" xfId="0" applyNumberFormat="1" applyFont="1" applyFill="1" applyBorder="1"/>
    <x:xf numFmtId="0" fontId="17" fillId="0" borderId="8" xfId="0" applyNumberFormat="1" applyFont="1" applyFill="1" applyBorder="1"/>
    <x:xf numFmtId="0" fontId="17" fillId="0" borderId="11" xfId="0" applyNumberFormat="1" applyFont="1" applyFill="1" applyBorder="1"/>
    <x:xf numFmtId="0" fontId="17" fillId="0" borderId="10" xfId="0" applyNumberFormat="1" applyFont="1" applyFill="1" applyBorder="1" applyAlignment="1">
      <x:alignment wrapText="1"/>
    </x:xf>
    <x:xf numFmtId="0" fontId="17" fillId="0" borderId="8" xfId="0" applyNumberFormat="1" applyFont="1" applyFill="1" applyBorder="1" applyAlignment="1">
      <x:alignment wrapText="1"/>
    </x:xf>
    <x:xf numFmtId="0" fontId="17" fillId="0" borderId="11" xfId="0" applyNumberFormat="1" applyFont="1" applyFill="1" applyBorder="1" applyAlignment="1">
      <x:alignment wrapText="1"/>
    </x:xf>
    <x:xf numFmtId="0" fontId="17" fillId="0" borderId="10" xfId="0" applyNumberFormat="1" applyFont="1" applyFill="1" applyBorder="1" applyAlignment="1">
      <x:alignment vertical="top" wrapText="1"/>
    </x:xf>
    <x:xf numFmtId="0" fontId="17" fillId="0" borderId="8" xfId="0" applyNumberFormat="1" applyFont="1" applyFill="1" applyBorder="1" applyAlignment="1">
      <x:alignment vertical="top" wrapText="1"/>
    </x:xf>
    <x:xf numFmtId="0" fontId="17" fillId="0" borderId="11" xfId="0" applyNumberFormat="1" applyFont="1" applyFill="1" applyBorder="1" applyAlignment="1">
      <x:alignment vertical="top" wrapText="1"/>
    </x:xf>
    <x:xf numFmtId="201" fontId="17" fillId="0" borderId="10" xfId="0" applyNumberFormat="1" applyFont="1" applyFill="1" applyBorder="1" applyAlignment="1">
      <x:alignment vertical="top" wrapText="1"/>
    </x:xf>
    <x:xf numFmtId="201" fontId="17" fillId="0" borderId="8" xfId="0" applyNumberFormat="1" applyFont="1" applyFill="1" applyBorder="1" applyAlignment="1">
      <x:alignment vertical="top" wrapText="1"/>
    </x:xf>
    <x:xf numFmtId="201" fontId="17" fillId="0" borderId="11" xfId="0" applyNumberFormat="1" applyFont="1" applyFill="1" applyBorder="1" applyAlignment="1">
      <x:alignment vertical="top" wrapText="1"/>
    </x:xf>
    <x:xf numFmtId="201" fontId="17" fillId="0" borderId="10" xfId="0" applyNumberFormat="1" applyFont="1" applyFill="1" applyBorder="1" applyAlignment="1">
      <x:alignment horizontal="center" vertical="top" wrapText="1"/>
    </x:xf>
    <x:xf numFmtId="201" fontId="17" fillId="0" borderId="8" xfId="0" applyNumberFormat="1" applyFont="1" applyFill="1" applyBorder="1" applyAlignment="1">
      <x:alignment horizontal="center" vertical="top" wrapText="1"/>
    </x:xf>
    <x:xf numFmtId="201" fontId="17" fillId="0" borderId="11" xfId="0" applyNumberFormat="1" applyFont="1" applyFill="1" applyBorder="1" applyAlignment="1">
      <x:alignment horizontal="center" vertical="top" wrapText="1"/>
    </x:xf>
    <x:xf numFmtId="0" fontId="17" fillId="0" borderId="10" xfId="0" applyNumberFormat="1" applyFont="1" applyFill="1" applyBorder="1" applyAlignment="1">
      <x:alignment horizontal="center" vertical="top" wrapText="1"/>
    </x:xf>
    <x:xf numFmtId="0" fontId="17" fillId="0" borderId="8" xfId="0" applyNumberFormat="1" applyFont="1" applyFill="1" applyBorder="1" applyAlignment="1">
      <x:alignment horizontal="center" vertical="top" wrapText="1"/>
    </x:xf>
    <x:xf numFmtId="0" fontId="17" fillId="0" borderId="11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/>
    <x:xf numFmtId="0" fontId="0" fillId="0" borderId="8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76E00"/>
      </x:font>
      <x:fill>
        <x:patternFill>
          <x:bgColor rgb="FFFFF4DB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5F6B7A"/>
      </x:font>
      <x:fill>
        <x:patternFill>
          <x:bgColor rgb="FFF4F6F8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b/>
        <x:color rgb="FF16835D"/>
      </x:font>
      <x:fill>
        <x:patternFill>
          <x:bgColor rgb="FFE9F8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eb2632ebd4d7b" /><Relationship Type="http://schemas.openxmlformats.org/officeDocument/2006/relationships/theme" Target="/xl/theme/theme1.xml" Id="Rdd01a31261a445cf" /><Relationship Type="http://schemas.openxmlformats.org/officeDocument/2006/relationships/sharedStrings" Target="/xl/sharedStrings.xml" Id="Rd0d76f589f3b492a" /><Relationship Type="http://schemas.openxmlformats.org/officeDocument/2006/relationships/worksheet" Target="/xl/worksheets/sheet1.xml" Id="Rcc0181165a414f2b" /><Relationship Type="http://schemas.openxmlformats.org/officeDocument/2006/relationships/worksheet" Target="/xl/worksheets/sheet2.xml" Id="R69455ced4ede4dcb" /><Relationship Type="http://schemas.openxmlformats.org/officeDocument/2006/relationships/worksheet" Target="/xl/worksheets/sheet3.xml" Id="R1d1a6dd22aa948ae" /><Relationship Type="http://schemas.openxmlformats.org/officeDocument/2006/relationships/worksheet" Target="/xl/worksheets/sheet4.xml" Id="Raf51308870c0404c" /></Relationships>
</file>

<file path=xl/tables/table1.xml><?xml version="1.0" encoding="utf-8"?>
<x:table xmlns:x="http://schemas.openxmlformats.org/spreadsheetml/2006/main" id="1" name="TechnicalDebtPlan" displayName="TechnicalDebtPlan" ref="A4:O13" headerRowCount="1" totalsRowCount="0" totalsRowShown="0">
  <x:tableColumns count="15">
    <x:tableColumn id="1" name="ID"/>
    <x:tableColumn id="2" name="Ưu tiên"/>
    <x:tableColumn id="3" name="Nhóm"/>
    <x:tableColumn id="4" name="Vấn đề"/>
    <x:tableColumn id="5" name="Bằng chứng"/>
    <x:tableColumn id="6" name="Tác động nếu không sửa"/>
    <x:tableColumn id="7" name="Kế hoạch xử lý"/>
    <x:tableColumn id="8" name="Hệ quả tích cực sau sửa"/>
    <x:tableColumn id="9" name="Rủi ro khi sửa"/>
    <x:tableColumn id="10" name="Phụ thuộc"/>
    <x:tableColumn id="11" name="Chủ trì"/>
    <x:tableColumn id="12" name="Effort (ngày)"/>
    <x:tableColumn id="13" name="Trạng thái"/>
    <x:tableColumn id="14" name="Giai đoạn"/>
    <x:tableColumn id="15" name="Tiêu chí nghiệm th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ontendCopyLog" displayName="FrontendCopyLog" ref="A4:J27" headerRowCount="1" totalsRowCount="0" totalsRowShown="0">
  <x:tableColumns count="10">
    <x:tableColumn id="1" name="ID"/>
    <x:tableColumn id="2" name="Khu vực"/>
    <x:tableColumn id="3" name="Nội dung cũ / nhóm nội dung"/>
    <x:tableColumn id="4" name="Xử lý"/>
    <x:tableColumn id="5" name="Nội dung mới"/>
    <x:tableColumn id="6" name="File"/>
    <x:tableColumn id="7" name="Nếu không sửa"/>
    <x:tableColumn id="8" name="Sau khi sửa"/>
    <x:tableColumn id="9" name="Rủi ro"/>
    <x:tableColumn id="10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e0b77e9cef4e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073825bcb54b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4" hidden="0" customWidth="1"/>
    <x:col min="4" max="4" width="32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54" t="str">
        <x:v>KẾ HOẠCH XỬ LÝ NỢ KỸ THUẬT — EDUMATRIX VN</x:v>
      </x:c>
      <x:c r="B1" s="54" t="str">
        <x:v>KẾ HOẠCH XỬ LÝ NỢ KỸ THUẬT — EDUMATRIX VN</x:v>
      </x:c>
      <x:c r="C1" s="54" t="str">
        <x:v>KẾ HOẠCH XỬ LÝ NỢ KỸ THUẬT — EDUMATRIX VN</x:v>
      </x:c>
      <x:c r="D1" s="54" t="str">
        <x:v>KẾ HOẠCH XỬ LÝ NỢ KỸ THUẬT — EDUMATRIX VN</x:v>
      </x:c>
      <x:c r="E1" s="54" t="str">
        <x:v>KẾ HOẠCH XỬ LÝ NỢ KỸ THUẬT — EDUMATRIX VN</x:v>
      </x:c>
      <x:c r="F1" s="54" t="str">
        <x:v>KẾ HOẠCH XỬ LÝ NỢ KỸ THUẬT — EDUMATRIX VN</x:v>
      </x:c>
      <x:c r="G1" s="54" t="str">
        <x:v>KẾ HOẠCH XỬ LÝ NỢ KỸ THUẬT — EDUMATRIX VN</x:v>
      </x:c>
      <x:c r="H1" s="54" t="str">
        <x:v>KẾ HOẠCH XỬ LÝ NỢ KỸ THUẬT — EDUMATRIX VN</x:v>
      </x:c>
    </x:row>
    <x:row r="2" ht="28" customHeight="1">
      <x:c r="A2" s="55" t="str">
        <x:v>Cập nhật 2026-07-28 · TD-07 đến TD-09 đã hoàn tất; còn TD-02 cần migration React Router 7 để xử lý advisory mới.</x:v>
      </x:c>
      <x:c r="B2" s="55" t="str">
        <x:v>Cập nhật 2026-07-28 · Microcopy Frontend đã sửa; backlog kỹ thuật được ưu tiên theo tác động và rủi ro.</x:v>
      </x:c>
      <x:c r="C2" s="55" t="str">
        <x:v>Cập nhật 2026-07-28 · Microcopy Frontend đã sửa; backlog kỹ thuật được ưu tiên theo tác động và rủi ro.</x:v>
      </x:c>
      <x:c r="D2" s="55" t="str">
        <x:v>Cập nhật 2026-07-28 · Microcopy Frontend đã sửa; backlog kỹ thuật được ưu tiên theo tác động và rủi ro.</x:v>
      </x:c>
      <x:c r="E2" s="55" t="str">
        <x:v>Cập nhật 2026-07-28 · Microcopy Frontend đã sửa; backlog kỹ thuật được ưu tiên theo tác động và rủi ro.</x:v>
      </x:c>
      <x:c r="F2" s="55" t="str">
        <x:v>Cập nhật 2026-07-28 · Microcopy Frontend đã sửa; backlog kỹ thuật được ưu tiên theo tác động và rủi ro.</x:v>
      </x:c>
      <x:c r="G2" s="55" t="str">
        <x:v>Cập nhật 2026-07-28 · Microcopy Frontend đã sửa; backlog kỹ thuật được ưu tiên theo tác động và rủi ro.</x:v>
      </x:c>
      <x:c r="H2" s="55" t="str">
        <x:v>Cập nhật 2026-07-28 · Microcopy Frontend đã sửa; backlog kỹ thuật được ưu tiên theo tác động và rủi ro.</x:v>
      </x:c>
    </x:row>
    <x:row r="3">
      <x:c r="A3" s="56"/>
      <x:c r="B3" s="56"/>
      <x:c r="C3" s="56"/>
      <x:c r="D3" s="56"/>
      <x:c r="E3" s="56"/>
      <x:c r="F3" s="56"/>
      <x:c r="G3" s="56"/>
      <x:c r="H3" s="56"/>
    </x:row>
    <x:row r="4">
      <x:c r="A4" s="57" t="str">
        <x:v>Tổng hạng mục kỹ thuật</x:v>
      </x:c>
      <x:c r="B4" s="58" t="n">
        <x:f>COUNTA('Kế hoạch nợ kỹ thuật'!$A$5:$A$100)</x:f>
        <x:v>9</x:v>
      </x:c>
      <x:c r="C4" s="56"/>
      <x:c r="D4" s="59" t="str">
        <x:v>Tổng thay đổi Frontend</x:v>
      </x:c>
      <x:c r="E4" s="60" t="n">
        <x:f>COUNTA('Thay đổi Frontend'!$A$5:$A$100)</x:f>
        <x:v>23</x:v>
      </x:c>
      <x:c r="F4" s="56"/>
      <x:c r="G4" s="56"/>
      <x:c r="H4" s="56"/>
    </x:row>
    <x:row r="5">
      <x:c r="A5" s="61" t="str">
        <x:v>P1 — ưu tiên ngay</x:v>
      </x:c>
      <x:c r="B5" s="62" t="n">
        <x:f>COUNTIF('Kế hoạch nợ kỹ thuật'!$B$5:$B$100,"P1")</x:f>
        <x:v>1</x:v>
      </x:c>
      <x:c r="C5" s="56"/>
      <x:c r="D5" s="63" t="str">
        <x:v>Đã xóa</x:v>
      </x:c>
      <x:c r="E5" s="64" t="n">
        <x:f>COUNTIF('Thay đổi Frontend'!$D$5:$D$100,"Xóa")</x:f>
        <x:v>12</x:v>
      </x:c>
      <x:c r="F5" s="56"/>
      <x:c r="G5" s="56"/>
      <x:c r="H5" s="56"/>
    </x:row>
    <x:row r="6">
      <x:c r="A6" s="61" t="str">
        <x:v>P2 — nên xử lý</x:v>
      </x:c>
      <x:c r="B6" s="62" t="n">
        <x:f>COUNTIF('Kế hoạch nợ kỹ thuật'!$B$5:$B$100,"P2")</x:f>
        <x:v>5</x:v>
      </x:c>
      <x:c r="C6" s="56"/>
      <x:c r="D6" s="63" t="str">
        <x:v>Đã thu gọn</x:v>
      </x:c>
      <x:c r="E6" s="64" t="n">
        <x:f>COUNTIF('Thay đổi Frontend'!$D$5:$D$100,"Thu gọn")</x:f>
        <x:v>9</x:v>
      </x:c>
      <x:c r="F6" s="56"/>
      <x:c r="G6" s="56"/>
      <x:c r="H6" s="56"/>
    </x:row>
    <x:row r="7">
      <x:c r="A7" s="61" t="str">
        <x:v>P3 — cải thiện</x:v>
      </x:c>
      <x:c r="B7" s="62" t="n">
        <x:f>COUNTIF('Kế hoạch nợ kỹ thuật'!$B$5:$B$100,"P3")</x:f>
        <x:v>3</x:v>
      </x:c>
      <x:c r="C7" s="56"/>
      <x:c r="D7" s="63" t="str">
        <x:v>Thu gọn / xóa hỗn hợp</x:v>
      </x:c>
      <x:c r="E7" s="64" t="n">
        <x:f>COUNTIF('Thay đổi Frontend'!$D$5:$D$100,"Thu gọn / xóa")</x:f>
        <x:v>2</x:v>
      </x:c>
      <x:c r="F7" s="56"/>
      <x:c r="G7" s="56"/>
      <x:c r="H7" s="56"/>
    </x:row>
    <x:row r="8">
      <x:c r="A8" s="61" t="str">
        <x:v>Tổng effort dự kiến (ngày)</x:v>
      </x:c>
      <x:c r="B8" s="65" t="n">
        <x:f>SUM('Kế hoạch nợ kỹ thuật'!$L$5:$L$100)</x:f>
        <x:v>19.5</x:v>
      </x:c>
      <x:c r="C8" s="56"/>
      <x:c r="D8" s="66" t="str">
        <x:v>Kiểm thử source</x:v>
      </x:c>
      <x:c r="E8" s="67" t="n">
        <x:v>97</x:v>
      </x:c>
      <x:c r="F8" s="56"/>
      <x:c r="G8" s="56"/>
      <x:c r="H8" s="56"/>
    </x:row>
    <x:row r="9">
      <x:c r="A9" s="68" t="str">
        <x:v>Hạng mục đã hoàn tất</x:v>
      </x:c>
      <x:c r="B9" s="69" t="n">
        <x:v>8</x:v>
      </x:c>
      <x:c r="C9" s="56"/>
      <x:c r="D9" s="56"/>
      <x:c r="E9" s="56"/>
      <x:c r="F9" s="56"/>
      <x:c r="G9" s="56"/>
      <x:c r="H9" s="56"/>
    </x:row>
    <x:row r="10">
      <x:c r="A10" s="56"/>
      <x:c r="B10" s="56"/>
      <x:c r="C10" s="56"/>
      <x:c r="D10" s="56"/>
      <x:c r="E10" s="56"/>
      <x:c r="F10" s="56"/>
      <x:c r="G10" s="56"/>
      <x:c r="H10" s="56"/>
    </x:row>
    <x:row r="11" ht="34" customHeight="1">
      <x:c r="A11" s="70" t="str">
        <x:v>Thứ tự khuyến nghị: xử lý CI và dependency trước; sau đó loại route demo/tối ưu asset; xây test UI trước khi refactor god component.</x:v>
      </x:c>
      <x:c r="B11" s="70"/>
      <x:c r="C11" s="70"/>
      <x:c r="D11" s="70"/>
      <x:c r="E11" s="70"/>
      <x:c r="F11" s="70"/>
      <x:c r="G11" s="70"/>
      <x:c r="H11" s="70"/>
    </x:row>
    <x:row r="12">
      <x:c r="A12" s="56"/>
      <x:c r="B12" s="56"/>
      <x:c r="C12" s="56"/>
      <x:c r="D12" s="56"/>
      <x:c r="E12" s="56"/>
      <x:c r="F12" s="56"/>
      <x:c r="G12" s="56"/>
      <x:c r="H12" s="56"/>
    </x:row>
    <x:row r="13" ht="30" customHeight="1">
      <x:c r="A13" s="71" t="str">
        <x:v>Trạng thái kiểm chứng: lint · typecheck · 97/97 source tests · 137/137 rules tests · 37/37 worker tests · build đạt; npm audit còn 2 moderate.</x:v>
      </x:c>
      <x:c r="B13" s="71"/>
      <x:c r="C13" s="71"/>
      <x:c r="D13" s="71"/>
      <x:c r="E13" s="71"/>
      <x:c r="F13" s="71"/>
      <x:c r="G13" s="71"/>
      <x:c r="H13" s="71"/>
    </x:row>
    <x:row r="14">
      <x:c r="A14" s="56"/>
      <x:c r="B14" s="56"/>
      <x:c r="C14" s="56"/>
      <x:c r="D14" s="56"/>
      <x:c r="E14" s="56"/>
      <x:c r="F14" s="56"/>
      <x:c r="G14" s="56"/>
      <x:c r="H14" s="56"/>
    </x:row>
  </x:sheetData>
  <x:mergeCells>
    <x:mergeCell ref="A1:H1"/>
    <x:mergeCell ref="A2:H2"/>
    <x:mergeCell ref="A11:H1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9" hidden="0" customWidth="1"/>
    <x:col min="4" max="4" width="35" hidden="0" customWidth="1"/>
    <x:col min="5" max="5" width="34" hidden="0" customWidth="1"/>
    <x:col min="6" max="6" width="39" hidden="0" customWidth="1"/>
    <x:col min="7" max="7" width="42" hidden="0" customWidth="1"/>
    <x:col min="8" max="8" width="38" hidden="0" customWidth="1"/>
    <x:col min="9" max="9" width="36" hidden="0" customWidth="1"/>
    <x:col min="10" max="10" width="12" hidden="0" customWidth="1"/>
    <x:col min="11" max="11" width="18" hidden="0" customWidth="1"/>
    <x:col min="12" max="12" width="12" hidden="0" customWidth="1"/>
    <x:col min="13" max="13" width="13" hidden="0" customWidth="1"/>
    <x:col min="14" max="14" width="14" hidden="0" customWidth="1"/>
    <x:col min="15" max="15" width="42" hidden="0" customWidth="1"/>
  </x:cols>
  <x:sheetData>
    <x:row r="1" ht="34" customHeight="1">
      <x:c r="A1" s="3" t="str">
        <x:v>BACKLOG NỢ KỸ THUẬT</x:v>
      </x:c>
      <x:c r="B1" s="3" t="str">
        <x:v>BACKLOG NỢ KỸ THUẬT</x:v>
      </x:c>
      <x:c r="C1" s="3" t="str">
        <x:v>BACKLOG NỢ KỸ THUẬT</x:v>
      </x:c>
      <x:c r="D1" s="3" t="str">
        <x:v>BACKLOG NỢ KỸ THUẬT</x:v>
      </x:c>
      <x:c r="E1" s="3" t="str">
        <x:v>BACKLOG NỢ KỸ THUẬT</x:v>
      </x:c>
      <x:c r="F1" s="3" t="str">
        <x:v>BACKLOG NỢ KỸ THUẬT</x:v>
      </x:c>
      <x:c r="G1" s="3" t="str">
        <x:v>BACKLOG NỢ KỸ THUẬT</x:v>
      </x:c>
      <x:c r="H1" s="3" t="str">
        <x:v>BACKLOG NỢ KỸ THUẬT</x:v>
      </x:c>
      <x:c r="I1" s="3" t="str">
        <x:v>BACKLOG NỢ KỸ THUẬT</x:v>
      </x:c>
      <x:c r="J1" s="3" t="str">
        <x:v>BACKLOG NỢ KỸ THUẬT</x:v>
      </x:c>
      <x:c r="K1" s="3" t="str">
        <x:v>BACKLOG NỢ KỸ THUẬT</x:v>
      </x:c>
      <x:c r="L1" s="3" t="str">
        <x:v>BACKLOG NỢ KỸ THUẬT</x:v>
      </x:c>
      <x:c r="M1" s="3" t="str">
        <x:v>BACKLOG NỢ KỸ THUẬT</x:v>
      </x:c>
      <x:c r="N1" s="3" t="str">
        <x:v>BACKLOG NỢ KỸ THUẬT</x:v>
      </x:c>
      <x:c r="O1" s="3" t="str">
        <x:v>BACKLOG NỢ KỸ THUẬT</x:v>
      </x:c>
    </x:row>
    <x:row r="2" ht="28" customHeight="1">
      <x:c r="A2" s="7" t="str">
        <x:v>Mỗi hàng là một hạng mục độc lập, có tác động nếu trì hoãn, kết quả mong đợi, rủi ro sửa và tiêu chí nghiệm thu.</x:v>
      </x:c>
      <x:c r="B2" s="7" t="str">
        <x:v>Mỗi hàng là một hạng mục độc lập, có tác động nếu trì hoãn, kết quả mong đợi, rủi ro sửa và tiêu chí nghiệm thu.</x:v>
      </x:c>
      <x:c r="C2" s="7" t="str">
        <x:v>Mỗi hàng là một hạng mục độc lập, có tác động nếu trì hoãn, kết quả mong đợi, rủi ro sửa và tiêu chí nghiệm thu.</x:v>
      </x:c>
      <x:c r="D2" s="7" t="str">
        <x:v>Mỗi hàng là một hạng mục độc lập, có tác động nếu trì hoãn, kết quả mong đợi, rủi ro sửa và tiêu chí nghiệm thu.</x:v>
      </x:c>
      <x:c r="E2" s="7" t="str">
        <x:v>Mỗi hàng là một hạng mục độc lập, có tác động nếu trì hoãn, kết quả mong đợi, rủi ro sửa và tiêu chí nghiệm thu.</x:v>
      </x:c>
      <x:c r="F2" s="7" t="str">
        <x:v>Mỗi hàng là một hạng mục độc lập, có tác động nếu trì hoãn, kết quả mong đợi, rủi ro sửa và tiêu chí nghiệm thu.</x:v>
      </x:c>
      <x:c r="G2" s="7" t="str">
        <x:v>Mỗi hàng là một hạng mục độc lập, có tác động nếu trì hoãn, kết quả mong đợi, rủi ro sửa và tiêu chí nghiệm thu.</x:v>
      </x:c>
      <x:c r="H2" s="7" t="str">
        <x:v>Mỗi hàng là một hạng mục độc lập, có tác động nếu trì hoãn, kết quả mong đợi, rủi ro sửa và tiêu chí nghiệm thu.</x:v>
      </x:c>
      <x:c r="I2" s="7" t="str">
        <x:v>Mỗi hàng là một hạng mục độc lập, có tác động nếu trì hoãn, kết quả mong đợi, rủi ro sửa và tiêu chí nghiệm thu.</x:v>
      </x:c>
      <x:c r="J2" s="7" t="str">
        <x:v>Mỗi hàng là một hạng mục độc lập, có tác động nếu trì hoãn, kết quả mong đợi, rủi ro sửa và tiêu chí nghiệm thu.</x:v>
      </x:c>
      <x:c r="K2" s="7" t="str">
        <x:v>Mỗi hàng là một hạng mục độc lập, có tác động nếu trì hoãn, kết quả mong đợi, rủi ro sửa và tiêu chí nghiệm thu.</x:v>
      </x:c>
      <x:c r="L2" s="7" t="str">
        <x:v>Mỗi hàng là một hạng mục độc lập, có tác động nếu trì hoãn, kết quả mong đợi, rủi ro sửa và tiêu chí nghiệm thu.</x:v>
      </x:c>
      <x:c r="M2" s="7" t="str">
        <x:v>Mỗi hàng là một hạng mục độc lập, có tác động nếu trì hoãn, kết quả mong đợi, rủi ro sửa và tiêu chí nghiệm thu.</x:v>
      </x:c>
      <x:c r="N2" s="7" t="str">
        <x:v>Mỗi hàng là một hạng mục độc lập, có tác động nếu trì hoãn, kết quả mong đợi, rủi ro sửa và tiêu chí nghiệm thu.</x:v>
      </x:c>
      <x:c r="O2" s="7" t="str">
        <x:v>Mỗi hàng là một hạng mục độc lập, có tác động nếu trì hoãn, kết quả mong đợi, rủi ro sửa và tiêu chí nghiệm thu.</x:v>
      </x:c>
    </x:row>
    <x:row r="4" ht="34" customHeight="1">
      <x:c r="A4" s="80" t="str">
        <x:v>ID</x:v>
      </x:c>
      <x:c r="B4" s="81" t="str">
        <x:v>Ưu tiên</x:v>
      </x:c>
      <x:c r="C4" s="81" t="str">
        <x:v>Nhóm</x:v>
      </x:c>
      <x:c r="D4" s="81" t="str">
        <x:v>Vấn đề</x:v>
      </x:c>
      <x:c r="E4" s="81" t="str">
        <x:v>Bằng chứng</x:v>
      </x:c>
      <x:c r="F4" s="81" t="str">
        <x:v>Tác động nếu không sửa</x:v>
      </x:c>
      <x:c r="G4" s="81" t="str">
        <x:v>Kế hoạch xử lý</x:v>
      </x:c>
      <x:c r="H4" s="81" t="str">
        <x:v>Hệ quả tích cực sau sửa</x:v>
      </x:c>
      <x:c r="I4" s="81" t="str">
        <x:v>Rủi ro khi sửa</x:v>
      </x:c>
      <x:c r="J4" s="81" t="str">
        <x:v>Phụ thuộc</x:v>
      </x:c>
      <x:c r="K4" s="81" t="str">
        <x:v>Chủ trì</x:v>
      </x:c>
      <x:c r="L4" s="81" t="str">
        <x:v>Effort (ngày)</x:v>
      </x:c>
      <x:c r="M4" s="81" t="str">
        <x:v>Trạng thái</x:v>
      </x:c>
      <x:c r="N4" s="81" t="str">
        <x:v>Giai đoạn</x:v>
      </x:c>
      <x:c r="O4" s="82" t="str">
        <x:v>Tiêu chí nghiệm thu</x:v>
      </x:c>
    </x:row>
    <x:row r="5" ht="74" customHeight="1">
      <x:c r="A5" s="99" t="str">
        <x:v>TD-01</x:v>
      </x:c>
      <x:c r="B5" s="99" t="str">
        <x:v>P1</x:v>
      </x:c>
      <x:c r="C5" s="90" t="str">
        <x:v>CI / Chất lượng</x:v>
      </x:c>
      <x:c r="D5" s="90" t="str">
        <x:v>ESLint chặn CI vì useEffect thiếu dependency refreshStatus</x:v>
      </x:c>
      <x:c r="E5" s="90" t="str">
        <x:v>src/features/settings/components/MetaPageConnectDialog.tsx:66; .github/workflows/ci.yml:21</x:v>
      </x:c>
      <x:c r="F5" s="90" t="str">
        <x:v>Mọi PR/push tiếp tục đỏ dù typecheck và test đạt; cảnh báo hook thật có thể bị bỏ qua giữa nhiễu CI.</x:v>
      </x:c>
      <x:c r="G5" s="90" t="str">
        <x:v>Ổn định refreshStatus bằng useCallback hoặc chuyển logic vào useEffect; thêm test cho polling và cleanup timer.</x:v>
      </x:c>
      <x:c r="H5" s="90" t="str">
        <x:v>CI xanh; dependency của effect rõ ràng; giảm nguy cơ polling dùng closure cũ.</x:v>
      </x:c>
      <x:c r="I5" s="90" t="str">
        <x:v>Sửa dependency không đúng có thể tái tạo interval liên tục hoặc gọi API nhiều lần.</x:v>
      </x:c>
      <x:c r="J5" s="90" t="str">
        <x:v>Không</x:v>
      </x:c>
      <x:c r="K5" s="90" t="str">
        <x:v>Frontend</x:v>
      </x:c>
      <x:c r="L5" s="96" t="n">
        <x:v>0.5</x:v>
      </x:c>
      <x:c r="M5" s="99" t="str">
        <x:v>Đã xong</x:v>
      </x:c>
      <x:c r="N5" s="99" t="str">
        <x:v>Giai đoạn 1</x:v>
      </x:c>
      <x:c r="O5" s="90" t="str">
        <x:v>npm run lint đạt; test xác nhận chỉ có một interval và cleanup khi đóng modal.</x:v>
      </x:c>
    </x:row>
    <x:row r="6" ht="74" customHeight="1">
      <x:c r="A6" s="100" t="str">
        <x:v>TD-02</x:v>
      </x:c>
      <x:c r="B6" s="100" t="str">
        <x:v>P2</x:v>
      </x:c>
      <x:c r="C6" s="91" t="str">
        <x:v>Bảo mật dependency</x:v>
      </x:c>
      <x:c r="D6" s="91" t="str">
        <x:v>Dependency có advisory: 2 moderate ở production; toolchain có 1 critical, 22 high</x:v>
      </x:c>
      <x:c r="E6" s="91" t="str">
        <x:v>npm audit 2026-07-28: react-router 6.0.0–7.17.0 còn 2 moderate; bản sửa yêu cầu react-router-dom 7.18.1 (breaking major)</x:v>
      </x:c>
      <x:c r="F6" s="91" t="str">
        <x:v>Tăng bề mặt tấn công; nâng cấp về sau khó hơn; audit bảo mật tiếp tục thất bại.</x:v>
      </x:c>
      <x:c r="G6" s="91" t="str">
        <x:v>Tạo nhánh nâng dependency; ưu tiên react-router; sau đó nâng firebase-tools/toolchain theo từng nhóm và chạy toàn bộ CI.</x:v>
      </x:c>
      <x:c r="H6" s="91" t="str">
        <x:v>Giảm advisory; lockfile gọn hơn; tạo nhịp cập nhật dependency định kỳ.</x:v>
      </x:c>
      <x:c r="I6" s="91" t="str">
        <x:v>Nâng major có thể thay đổi API route, Firebase CLI hoặc hành vi build.</x:v>
      </x:c>
      <x:c r="J6" s="91" t="str">
        <x:v>TD-01</x:v>
      </x:c>
      <x:c r="K6" s="91" t="str">
        <x:v>Tech Lead</x:v>
      </x:c>
      <x:c r="L6" s="97" t="n">
        <x:v>2</x:v>
      </x:c>
      <x:c r="M6" s="100" t="str">
        <x:v>Tạm hoãn</x:v>
      </x:c>
      <x:c r="N6" s="100" t="str">
        <x:v>Giai đoạn 1</x:v>
      </x:c>
      <x:c r="O6" s="91" t="str">
        <x:v>npm audit --omit=dev không còn cảnh báo; root/worker CI và smoke test route đạt.</x:v>
      </x:c>
    </x:row>
    <x:row r="7" ht="74" customHeight="1">
      <x:c r="A7" s="100" t="str">
        <x:v>TD-03</x:v>
      </x:c>
      <x:c r="B7" s="100" t="str">
        <x:v>P2</x:v>
      </x:c>
      <x:c r="C7" s="91" t="str">
        <x:v>Code thừa / Route</x:v>
      </x:c>
      <x:c r="D7" s="91" t="str">
        <x:v>Route Chat demo dữ liệu giả vẫn có trong production</x:v>
      </x:c>
      <x:c r="E7" s="91" t="str">
        <x:v>src/app/router.tsx:35,89; src/app/routePrefetch.ts:23; src/features/announcements/pages/ChatDemoPage.tsx</x:v>
      </x:c>
      <x:c r="F7" s="91" t="str">
        <x:v>Staff biết URL có thể mở màn hình giả; tăng nhầm lẫn hỗ trợ và thêm khoảng 29.8 KB chunk production.</x:v>
      </x:c>
      <x:c r="G7" s="91" t="str">
        <x:v>Xác nhận không còn nhu cầu demo; xóa route, prefetch, constants, title và file demo; giữ ảnh/tài liệu tham khảo ngoài src nếu cần.</x:v>
      </x:c>
      <x:c r="H7" s="91" t="str">
        <x:v>Không còn màn hình giả trong production; giảm bundle và bề mặt bảo trì.</x:v>
      </x:c>
      <x:c r="I7" s="91" t="str">
        <x:v>Có thể mất môi trường trình diễn nội bộ nếu chưa có phương án thay thế.</x:v>
      </x:c>
      <x:c r="J7" s="91" t="str">
        <x:v>Không</x:v>
      </x:c>
      <x:c r="K7" s="91" t="str">
        <x:v>Frontend</x:v>
      </x:c>
      <x:c r="L7" s="97" t="n">
        <x:v>0.5</x:v>
      </x:c>
      <x:c r="M7" s="100" t="str">
        <x:v>Đã xong</x:v>
      </x:c>
      <x:c r="N7" s="100" t="str">
        <x:v>Giai đoạn 1</x:v>
      </x:c>
      <x:c r="O7" s="91" t="str">
        <x:v>Không còn /app/chat-demo; build không sinh ChatDemoPage chunk; route smoke test đạt.</x:v>
      </x:c>
    </x:row>
    <x:row r="8" ht="74" customHeight="1">
      <x:c r="A8" s="100" t="str">
        <x:v>TD-04</x:v>
      </x:c>
      <x:c r="B8" s="100" t="str">
        <x:v>P2</x:v>
      </x:c>
      <x:c r="C8" s="91" t="str">
        <x:v>Kiểm thử UI</x:v>
      </x:c>
      <x:c r="D8" s="91" t="str">
        <x:v>101 file TSX nhưng không có test component .test.tsx</x:v>
      </x:c>
      <x:c r="E8" s="91" t="str">
        <x:v>src/**/*.tsx; vitest.config.ts</x:v>
      </x:c>
      <x:c r="F8" s="91" t="str">
        <x:v>Regression ở modal, quyền hiển thị, trạng thái loading/error và luồng nhập liệu chỉ được phát hiện thủ công.</x:v>
      </x:c>
      <x:c r="G8" s="91" t="str">
        <x:v>Thiết lập React Testing Library; ưu tiên 5 luồng: Meta connect, tạo lớp, hóa đơn, Chat, phát hành tổng kết.</x:v>
      </x:c>
      <x:c r="H8" s="91" t="str">
        <x:v>Có lưới an toàn trước khi refactor; giảm lỗi giao diện sau merge.</x:v>
      </x:c>
      <x:c r="I8" s="91" t="str">
        <x:v>Test UI dễ giòn nếu kiểm tra class/DOM chi tiết thay vì hành vi.</x:v>
      </x:c>
      <x:c r="J8" s="91" t="str">
        <x:v>TD-01</x:v>
      </x:c>
      <x:c r="K8" s="91" t="str">
        <x:v>QA + Frontend</x:v>
      </x:c>
      <x:c r="L8" s="97" t="n">
        <x:v>5</x:v>
      </x:c>
      <x:c r="M8" s="100" t="str">
        <x:v>Đã xong</x:v>
      </x:c>
      <x:c r="N8" s="100" t="str">
        <x:v>Giai đoạn 2</x:v>
      </x:c>
      <x:c r="O8" s="91" t="str">
        <x:v>Mỗi luồng ưu tiên có test success/error/permission; chạy trong CI.</x:v>
      </x:c>
    </x:row>
    <x:row r="9" ht="74" customHeight="1">
      <x:c r="A9" s="100" t="str">
        <x:v>TD-05</x:v>
      </x:c>
      <x:c r="B9" s="100" t="str">
        <x:v>P2</x:v>
      </x:c>
      <x:c r="C9" s="91" t="str">
        <x:v>Hiệu năng asset</x:v>
      </x:c>
      <x:c r="D9" s="91" t="str">
        <x:v>Logo SVG 457 KB chứa ảnh PNG base64</x:v>
      </x:c>
      <x:c r="E9" s="91" t="str">
        <x:v>src/assets/logo.svg:1; dist/assets/logo-*.svg</x:v>
      </x:c>
      <x:c r="F9" s="91" t="str">
        <x:v>Tăng thời gian tải và cache cho login/app shell; SVG khó chỉnh sửa và không tận dụng vector.</x:v>
      </x:c>
      <x:c r="G9" s="91" t="str">
        <x:v>Xuất logo vector thật; nếu không có, dùng WebP/PNG tối ưu đúng kích thước; so sánh trực quan trước/sau.</x:v>
      </x:c>
      <x:c r="H9" s="91" t="str">
        <x:v>Giảm đáng kể kích thước tải và cải thiện thời gian hiển thị logo.</x:v>
      </x:c>
      <x:c r="I9" s="91" t="str">
        <x:v>Nén hoặc chuyển định dạng sai có thể làm logo mờ, lệch màu hoặc sai tỉ lệ.</x:v>
      </x:c>
      <x:c r="J9" s="91" t="str">
        <x:v>Không</x:v>
      </x:c>
      <x:c r="K9" s="91" t="str">
        <x:v>Design + Frontend</x:v>
      </x:c>
      <x:c r="L9" s="97" t="n">
        <x:v>0.5</x:v>
      </x:c>
      <x:c r="M9" s="100" t="str">
        <x:v>Đã xong</x:v>
      </x:c>
      <x:c r="N9" s="100" t="str">
        <x:v>Giai đoạn 1</x:v>
      </x:c>
      <x:c r="O9" s="91" t="str">
        <x:v>Asset dưới 80 KB; hiển thị đúng ở login, sidebar và màn hình retina.</x:v>
      </x:c>
    </x:row>
    <x:row r="10" ht="74" customHeight="1">
      <x:c r="A10" s="100" t="str">
        <x:v>TD-06</x:v>
      </x:c>
      <x:c r="B10" s="100" t="str">
        <x:v>P2</x:v>
      </x:c>
      <x:c r="C10" s="91" t="str">
        <x:v>Kiến trúc frontend</x:v>
      </x:c>
      <x:c r="D10" s="91" t="str">
        <x:v>Nhiều god component 460–712 dòng</x:v>
      </x:c>
      <x:c r="E10" s="91" t="str">
        <x:v>ClassroomInteractionPage.tsx; ChatPage.tsx; ClassForm.tsx; LessonPlanForm.tsx; StudentsList.tsx</x:v>
      </x:c>
      <x:c r="F10" s="91" t="str">
        <x:v>Khó review, test và thay đổi cục bộ; tăng xung đột merge và nguy cơ sửa một phần làm hỏng phần khác.</x:v>
      </x:c>
      <x:c r="G10" s="91" t="str">
        <x:v>Tách theo ranh giới hành vi đã có, mỗi lần một component; giữ query/mutation ở container; thêm test trước khi tách.</x:v>
      </x:c>
      <x:c r="H10" s="91" t="str">
        <x:v>Giảm độ phức tạp và xung đột; component nhỏ có thể kiểm thử độc lập.</x:v>
      </x:c>
      <x:c r="I10" s="91" t="str">
        <x:v>Refactor lớn có thể đổi state lifecycle, reset form hoặc làm tăng render.</x:v>
      </x:c>
      <x:c r="J10" s="91" t="str">
        <x:v>TD-04</x:v>
      </x:c>
      <x:c r="K10" s="91" t="str">
        <x:v>Frontend</x:v>
      </x:c>
      <x:c r="L10" s="97" t="n">
        <x:v>8</x:v>
      </x:c>
      <x:c r="M10" s="100" t="str">
        <x:v>Đã xong</x:v>
      </x:c>
      <x:c r="N10" s="100" t="str">
        <x:v>Giai đoạn 3</x:v>
      </x:c>
      <x:c r="O10" s="91" t="str">
        <x:v>Không thay đổi hành vi; mỗi file chính dưới khoảng 350 dòng; test và profiler không xấu đi.</x:v>
      </x:c>
    </x:row>
    <x:row r="11" ht="74" customHeight="1">
      <x:c r="A11" s="100" t="str">
        <x:v>TD-07</x:v>
      </x:c>
      <x:c r="B11" s="100" t="str">
        <x:v>P3</x:v>
      </x:c>
      <x:c r="C11" s="91" t="str">
        <x:v>Dead code</x:v>
      </x:c>
      <x:c r="D11" s="91" t="str">
        <x:v>18 export/declaration chết được xác minh và loại bỏ; 3 dynamic contract được giữ lại</x:v>
      </x:c>
      <x:c r="E11" s="91" t="str">
        <x:v>TypeScript import graph + typecheck; giữ setCachedUserDoc, attemptClaimInvite và touchLastLogin do AuthContext dùng qua dynamic import</x:v>
      </x:c>
      <x:c r="F11" s="91" t="str">
        <x:v>API thừa gây nhiễu tìm kiếm, làm người mới hiểu sai bề mặt hệ thống và tăng chi phí migration.</x:v>
      </x:c>
      <x:c r="G11" s="91" t="str">
        <x:v>Xác minh bằng tìm kiếm/import graph; xóa từng nhóm cùng test liên quan; không xóa public contract chưa kiểm chứng.</x:v>
      </x:c>
      <x:c r="H11" s="91" t="str">
        <x:v>Giảm bề mặt code và giảm lựa chọn sai khi phát triển.</x:v>
      </x:c>
      <x:c r="I11" s="91" t="str">
        <x:v>Heuristic textual có thể bỏ sót call site động hoặc consumer ngoài repo.</x:v>
      </x:c>
      <x:c r="J11" s="91" t="str">
        <x:v>TD-04</x:v>
      </x:c>
      <x:c r="K11" s="91" t="str">
        <x:v>Frontend</x:v>
      </x:c>
      <x:c r="L11" s="97" t="n">
        <x:v>1.5</x:v>
      </x:c>
      <x:c r="M11" s="100" t="str">
        <x:v>Đã xong</x:v>
      </x:c>
      <x:c r="N11" s="100" t="str">
        <x:v>Giai đoạn 3</x:v>
      </x:c>
      <x:c r="O11" s="91" t="str">
        <x:v>Không còn export không dùng đã xác minh; typecheck/test/build đạt.</x:v>
      </x:c>
    </x:row>
    <x:row r="12" ht="74" customHeight="1">
      <x:c r="A12" s="100" t="str">
        <x:v>TD-08</x:v>
      </x:c>
      <x:c r="B12" s="100" t="str">
        <x:v>P3</x:v>
      </x:c>
      <x:c r="C12" s="91" t="str">
        <x:v>Vệ sinh repository</x:v>
      </x:c>
      <x:c r="D12" s="91" t="str">
        <x:v>Agents Instuctions có 910 file, khoảng 14.6 MB, lớn hơn nhiều lần src</x:v>
      </x:c>
      <x:c r="E12" s="91" t="str">
        <x:v>git ls-files: Agents Instuctions giảm từ 910 xuống 0 file tracked; dữ liệu cục bộ vẫn được giữ và nguồn ngoài đã ghi trong AI agent guide</x:v>
      </x:c>
      <x:c r="F12" s="91" t="str">
        <x:v>Clone, search, index và review chậm; kết quả quét code bị nhiễu bởi mã mẫu không thuộc sản phẩm.</x:v>
      </x:c>
      <x:c r="G12" s="91" t="str">
        <x:v>Tách kho skill/tài liệu khỏi repo sản phẩm hoặc dùng submodule/artefact lưu trữ; giữ AGENTS.md tối thiểu cần thiết.</x:v>
      </x:c>
      <x:c r="H12" s="91" t="str">
        <x:v>Repo nhẹ hơn; tìm kiếm và onboarding tập trung vào code sản phẩm.</x:v>
      </x:c>
      <x:c r="I12" s="91" t="str">
        <x:v>Di chuyển có thể làm hỏng đường dẫn tài liệu hoặc workflow agent đang phụ thuộc.</x:v>
      </x:c>
      <x:c r="J12" s="91" t="str">
        <x:v>Không</x:v>
      </x:c>
      <x:c r="K12" s="91" t="str">
        <x:v>Repo Owner</x:v>
      </x:c>
      <x:c r="L12" s="97" t="n">
        <x:v>1</x:v>
      </x:c>
      <x:c r="M12" s="100" t="str">
        <x:v>Đã xong</x:v>
      </x:c>
      <x:c r="N12" s="100" t="str">
        <x:v>Giai đoạn 2</x:v>
      </x:c>
      <x:c r="O12" s="91" t="str">
        <x:v>Giảm tracked files/size; hướng dẫn agent vẫn truy cập được từ vị trí mới.</x:v>
      </x:c>
    </x:row>
    <x:row r="13" ht="74" customHeight="1">
      <x:c r="A13" s="101" t="str">
        <x:v>TD-09</x:v>
      </x:c>
      <x:c r="B13" s="101" t="str">
        <x:v>P3</x:v>
      </x:c>
      <x:c r="C13" s="92" t="str">
        <x:v>Cấu hình môi trường</x:v>
      </x:c>
      <x:c r="D13" s="92" t="str">
        <x:v>.env.real đang tracked dù đã nằm trong .gitignore</x:v>
      </x:c>
      <x:c r="E13" s="92" t="str">
        <x:v>git ls-files .env.real không còn kết quả; file cục bộ vẫn tồn tại; tập tên biến khớp hoàn toàn với .env.example</x:v>
      </x:c>
      <x:c r="F13" s="92" t="str">
        <x:v>Dễ commit nhầm cấu hình môi trường hoặc tạo khác biệt giữa máy phát triển và CI.</x:v>
      </x:c>
      <x:c r="G13" s="92" t="str">
        <x:v>Xác nhận các giá trị cần thiết đã có trong .env.example; git rm --cached .env.real; rotate nếu từng chứa token bí mật.</x:v>
      </x:c>
      <x:c r="H13" s="92" t="str">
        <x:v>Phân tách rõ template và cấu hình máy; giảm rủi ro lộ hoặc drift cấu hình.</x:v>
      </x:c>
      <x:c r="I13" s="92" t="str">
        <x:v>Gỡ file khỏi Git có thể làm môi trường mới thiếu cấu hình nếu README chưa đầy đủ.</x:v>
      </x:c>
      <x:c r="J13" s="92" t="str">
        <x:v>Không</x:v>
      </x:c>
      <x:c r="K13" s="92" t="str">
        <x:v>DevOps</x:v>
      </x:c>
      <x:c r="L13" s="98" t="n">
        <x:v>0.5</x:v>
      </x:c>
      <x:c r="M13" s="101" t="str">
        <x:v>Đã xong</x:v>
      </x:c>
      <x:c r="N13" s="101" t="str">
        <x:v>Giai đoạn 1</x:v>
      </x:c>
      <x:c r="O13" s="92" t="str">
        <x:v>.env.real không còn tracked; setup mới theo README/.env.example hoạt động.</x:v>
      </x:c>
    </x:row>
  </x:sheetData>
  <x:mergeCells>
    <x:mergeCell ref="A1:O1"/>
    <x:mergeCell ref="A2:O2"/>
  </x:mergeCells>
  <x:conditionalFormatting sqref="B5:B13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</x:conditionalFormatting>
  <x:dataValidations count="2">
    <x:dataValidation type="list" sqref="M5:M100">
      <x:formula1>"Chưa làm,Đang làm,Đã xong,Tạm hoãn"</x:formula1>
    </x:dataValidation>
    <x:dataValidation type="list" sqref="B5:B100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e0b77e9cef4e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42" hidden="0" customWidth="1"/>
    <x:col min="4" max="4" width="15" hidden="0" customWidth="1"/>
    <x:col min="5" max="5" width="42" hidden="0" customWidth="1"/>
    <x:col min="6" max="6" width="46" hidden="0" customWidth="1"/>
    <x:col min="7" max="7" width="34" hidden="0" customWidth="1"/>
    <x:col min="8" max="8" width="34" hidden="0" customWidth="1"/>
    <x:col min="9" max="9" width="13" hidden="0" customWidth="1"/>
    <x:col min="10" max="10" width="13" hidden="0" customWidth="1"/>
  </x:cols>
  <x:sheetData>
    <x:row r="1" ht="34" customHeight="1">
      <x:c r="A1" s="3" t="str">
        <x:v>NHẬT KÝ TINH GỌN MICROCOPY FRONTEND</x:v>
      </x:c>
      <x:c r="B1" s="3" t="str">
        <x:v>NHẬT KÝ TINH GỌN MICROCOPY FRONTEND</x:v>
      </x:c>
      <x:c r="C1" s="3" t="str">
        <x:v>NHẬT KÝ TINH GỌN MICROCOPY FRONTEND</x:v>
      </x:c>
      <x:c r="D1" s="3" t="str">
        <x:v>NHẬT KÝ TINH GỌN MICROCOPY FRONTEND</x:v>
      </x:c>
      <x:c r="E1" s="3" t="str">
        <x:v>NHẬT KÝ TINH GỌN MICROCOPY FRONTEND</x:v>
      </x:c>
      <x:c r="F1" s="3" t="str">
        <x:v>NHẬT KÝ TINH GỌN MICROCOPY FRONTEND</x:v>
      </x:c>
      <x:c r="G1" s="3" t="str">
        <x:v>NHẬT KÝ TINH GỌN MICROCOPY FRONTEND</x:v>
      </x:c>
      <x:c r="H1" s="3" t="str">
        <x:v>NHẬT KÝ TINH GỌN MICROCOPY FRONTEND</x:v>
      </x:c>
      <x:c r="I1" s="3" t="str">
        <x:v>NHẬT KÝ TINH GỌN MICROCOPY FRONTEND</x:v>
      </x:c>
      <x:c r="J1" s="3" t="str">
        <x:v>NHẬT KÝ TINH GỌN MICROCOPY FRONTEND</x:v>
      </x:c>
    </x:row>
    <x:row r="2" ht="28" customHeight="1">
      <x:c r="A2" s="7" t="str">
        <x:v>Các thay đổi đã triển khai trong source; cảnh báo có hậu quả thật được giữ nhưng rút ngắn.</x:v>
      </x:c>
      <x:c r="B2" s="7" t="str">
        <x:v>Các thay đổi đã triển khai trong source; cảnh báo có hậu quả thật được giữ nhưng rút ngắn.</x:v>
      </x:c>
      <x:c r="C2" s="7" t="str">
        <x:v>Các thay đổi đã triển khai trong source; cảnh báo có hậu quả thật được giữ nhưng rút ngắn.</x:v>
      </x:c>
      <x:c r="D2" s="7" t="str">
        <x:v>Các thay đổi đã triển khai trong source; cảnh báo có hậu quả thật được giữ nhưng rút ngắn.</x:v>
      </x:c>
      <x:c r="E2" s="7" t="str">
        <x:v>Các thay đổi đã triển khai trong source; cảnh báo có hậu quả thật được giữ nhưng rút ngắn.</x:v>
      </x:c>
      <x:c r="F2" s="7" t="str">
        <x:v>Các thay đổi đã triển khai trong source; cảnh báo có hậu quả thật được giữ nhưng rút ngắn.</x:v>
      </x:c>
      <x:c r="G2" s="7" t="str">
        <x:v>Các thay đổi đã triển khai trong source; cảnh báo có hậu quả thật được giữ nhưng rút ngắn.</x:v>
      </x:c>
      <x:c r="H2" s="7" t="str">
        <x:v>Các thay đổi đã triển khai trong source; cảnh báo có hậu quả thật được giữ nhưng rút ngắn.</x:v>
      </x:c>
      <x:c r="I2" s="7" t="str">
        <x:v>Các thay đổi đã triển khai trong source; cảnh báo có hậu quả thật được giữ nhưng rút ngắn.</x:v>
      </x:c>
      <x:c r="J2" s="7" t="str">
        <x:v>Các thay đổi đã triển khai trong source; cảnh báo có hậu quả thật được giữ nhưng rút ngắn.</x:v>
      </x:c>
    </x:row>
    <x:row r="4" ht="34" customHeight="1">
      <x:c r="A4" s="80" t="str">
        <x:v>ID</x:v>
      </x:c>
      <x:c r="B4" s="81" t="str">
        <x:v>Khu vực</x:v>
      </x:c>
      <x:c r="C4" s="81" t="str">
        <x:v>Nội dung cũ / nhóm nội dung</x:v>
      </x:c>
      <x:c r="D4" s="81" t="str">
        <x:v>Xử lý</x:v>
      </x:c>
      <x:c r="E4" s="81" t="str">
        <x:v>Nội dung mới</x:v>
      </x:c>
      <x:c r="F4" s="81" t="str">
        <x:v>File</x:v>
      </x:c>
      <x:c r="G4" s="81" t="str">
        <x:v>Nếu không sửa</x:v>
      </x:c>
      <x:c r="H4" s="81" t="str">
        <x:v>Sau khi sửa</x:v>
      </x:c>
      <x:c r="I4" s="81" t="str">
        <x:v>Rủi ro</x:v>
      </x:c>
      <x:c r="J4" s="82" t="str">
        <x:v>Trạng thái</x:v>
      </x:c>
    </x:row>
    <x:row r="5" ht="62" customHeight="1">
      <x:c r="A5" s="90" t="str">
        <x:v>FE-01</x:v>
      </x:c>
      <x:c r="B5" s="90" t="str">
        <x:v>Topbar toàn hệ thống</x:v>
      </x:c>
      <x:c r="C5" s="90" t="str">
        <x:v>24 mô tả route dưới tiêu đề</x:v>
      </x:c>
      <x:c r="D5" s="90" t="str">
        <x:v>Xóa</x:v>
      </x:c>
      <x:c r="E5" s="90" t="str">
        <x:v>Chỉ giữ tiêu đề trang</x:v>
      </x:c>
      <x:c r="F5" s="90" t="str">
        <x:v>src/components/layouts/Topbar.tsx; src/constants/navigation.ts</x:v>
      </x:c>
      <x:c r="G5" s="90" t="str">
        <x:v>Lặp lại tên chức năng, bị truncate và chiếm chiều cao header.</x:v>
      </x:c>
      <x:c r="H5" s="90" t="str">
        <x:v>Header gọn, tập trung vào hành động.</x:v>
      </x:c>
      <x:c r="I5" s="90" t="str">
        <x:v>Thấp</x:v>
      </x:c>
      <x:c r="J5" s="90" t="str">
        <x:v>Đã xong</x:v>
      </x:c>
    </x:row>
    <x:row r="6" ht="62" customHeight="1">
      <x:c r="A6" s="91" t="str">
        <x:v>FE-02</x:v>
      </x:c>
      <x:c r="B6" s="91" t="str">
        <x:v>Danh sách học sinh</x:v>
      </x:c>
      <x:c r="C6" s="91" t="str">
        <x:v>Theo dõi lớp học, tiến độ, điểm danh, bài tập và đánh giá trong một bảng.</x:v>
      </x:c>
      <x:c r="D6" s="91" t="str">
        <x:v>Xóa</x:v>
      </x:c>
      <x:c r="E6" s="91" t="str"/>
      <x:c r="F6" s="91" t="str">
        <x:v>src/features/students/components/StudentsList.tsx</x:v>
      </x:c>
      <x:c r="G6" s="91" t="str">
        <x:v>Tự mô tả dữ liệu đã thấy ngay trong bảng.</x:v>
      </x:c>
      <x:c r="H6" s="91" t="str">
        <x:v>Giảm nhiễu trước danh sách.</x:v>
      </x:c>
      <x:c r="I6" s="91" t="str">
        <x:v>Thấp</x:v>
      </x:c>
      <x:c r="J6" s="91" t="str">
        <x:v>Đã xong</x:v>
      </x:c>
    </x:row>
    <x:row r="7" ht="62" customHeight="1">
      <x:c r="A7" s="91" t="str">
        <x:v>FE-03</x:v>
      </x:c>
      <x:c r="B7" s="91" t="str">
        <x:v>Điểm danh</x:v>
      </x:c>
      <x:c r="C7" s="91" t="str">
        <x:v>Cập nhật trạng thái và theo dõi lịch sử chuyên cần trong cùng một màn hình.</x:v>
      </x:c>
      <x:c r="D7" s="91" t="str">
        <x:v>Xóa</x:v>
      </x:c>
      <x:c r="E7" s="91" t="str"/>
      <x:c r="F7" s="91" t="str">
        <x:v>src/features/attendance/components/AttendanceMarkPanel.tsx</x:v>
      </x:c>
      <x:c r="G7" s="91" t="str">
        <x:v>Lặp lại mục đích màn hình.</x:v>
      </x:c>
      <x:c r="H7" s="91" t="str">
        <x:v>Tiêu đề và bộ lọc nổi bật hơn.</x:v>
      </x:c>
      <x:c r="I7" s="91" t="str">
        <x:v>Thấp</x:v>
      </x:c>
      <x:c r="J7" s="91" t="str">
        <x:v>Đã xong</x:v>
      </x:c>
    </x:row>
    <x:row r="8" ht="62" customHeight="1">
      <x:c r="A8" s="91" t="str">
        <x:v>FE-04</x:v>
      </x:c>
      <x:c r="B8" s="91" t="str">
        <x:v>Hồ sơ học sinh</x:v>
      </x:c>
      <x:c r="C8" s="91" t="str">
        <x:v>Ghi chú này dành cho vận hành nội bộ...</x:v>
      </x:c>
      <x:c r="D8" s="91" t="str">
        <x:v>Xóa</x:v>
      </x:c>
      <x:c r="E8" s="91" t="str"/>
      <x:c r="F8" s="91" t="str">
        <x:v>src/features/students/components/StudentInfoDialog.tsx</x:v>
      </x:c>
      <x:c r="G8" s="91" t="str">
        <x:v>Lặp lại nhãn ghi chú nội bộ.</x:v>
      </x:c>
      <x:c r="H8" s="91" t="str">
        <x:v>Form ngắn và dễ quét hơn.</x:v>
      </x:c>
      <x:c r="I8" s="91" t="str">
        <x:v>Thấp</x:v>
      </x:c>
      <x:c r="J8" s="91" t="str">
        <x:v>Đã xong</x:v>
      </x:c>
    </x:row>
    <x:row r="9" ht="62" customHeight="1">
      <x:c r="A9" s="91" t="str">
        <x:v>FE-05</x:v>
      </x:c>
      <x:c r="B9" s="91" t="str">
        <x:v>Trạng thái học sinh</x:v>
      </x:c>
      <x:c r="C9" s="91" t="str">
        <x:v>Gạt để áp dụng trạng thái ngay.</x:v>
      </x:c>
      <x:c r="D9" s="91" t="str">
        <x:v>Xóa</x:v>
      </x:c>
      <x:c r="E9" s="91" t="str"/>
      <x:c r="F9" s="91" t="str">
        <x:v>src/features/students/components/StudentInfoDialog.tsx</x:v>
      </x:c>
      <x:c r="G9" s="91" t="str">
        <x:v>Hành vi đã rõ từ công tắc ON/OFF.</x:v>
      </x:c>
      <x:c r="H9" s="91" t="str">
        <x:v>Giảm chữ cạnh thao tác.</x:v>
      </x:c>
      <x:c r="I9" s="91" t="str">
        <x:v>Thấp</x:v>
      </x:c>
      <x:c r="J9" s="91" t="str">
        <x:v>Đã xong</x:v>
      </x:c>
    </x:row>
    <x:row r="10" ht="62" customHeight="1">
      <x:c r="A10" s="91" t="str">
        <x:v>FE-06</x:v>
      </x:c>
      <x:c r="B10" s="91" t="str">
        <x:v>Modal giáo án</x:v>
      </x:c>
      <x:c r="C10" s="91" t="str">
        <x:v>Điền thông tin bên trái... không chuyển trang.</x:v>
      </x:c>
      <x:c r="D10" s="91" t="str">
        <x:v>Xóa</x:v>
      </x:c>
      <x:c r="E10" s="91" t="str"/>
      <x:c r="F10" s="91" t="str">
        <x:v>src/features/lesson-plans/pages/LessonPlansPage.tsx</x:v>
      </x:c>
      <x:c r="G10" s="91" t="str">
        <x:v>Mô tả bố cục thay vì giúp hoàn thành nhiệm vụ.</x:v>
      </x:c>
      <x:c r="H10" s="91" t="str">
        <x:v>Modal vào thẳng nội dung.</x:v>
      </x:c>
      <x:c r="I10" s="91" t="str">
        <x:v>Thấp</x:v>
      </x:c>
      <x:c r="J10" s="91" t="str">
        <x:v>Đã xong</x:v>
      </x:c>
    </x:row>
    <x:row r="11" ht="62" customHeight="1">
      <x:c r="A11" s="91" t="str">
        <x:v>FE-07</x:v>
      </x:c>
      <x:c r="B11" s="91" t="str">
        <x:v>Đăng ký nghỉ</x:v>
      </x:c>
      <x:c r="C11" s="91" t="str">
        <x:v>Ghi nhận trước cho 1 học sinh — không ảnh hưởng...</x:v>
      </x:c>
      <x:c r="D11" s="91" t="str">
        <x:v>Thu gọn</x:v>
      </x:c>
      <x:c r="E11" s="91" t="str">
        <x:v>Ghi nhận nghỉ học trước cho một học sinh.</x:v>
      </x:c>
      <x:c r="F11" s="91" t="str">
        <x:v>src/features/attendance/pages/AttendancePage.tsx</x:v>
      </x:c>
      <x:c r="G11" s="91" t="str">
        <x:v>Câu dài, nhiều mệnh đề và giải thích implementation.</x:v>
      </x:c>
      <x:c r="H11" s="91" t="str">
        <x:v>Vẫn giữ phạm vi thao tác, đọc nhanh hơn.</x:v>
      </x:c>
      <x:c r="I11" s="91" t="str">
        <x:v>Thấp</x:v>
      </x:c>
      <x:c r="J11" s="91" t="str">
        <x:v>Đã xong</x:v>
      </x:c>
    </x:row>
    <x:row r="12" ht="62" customHeight="1">
      <x:c r="A12" s="91" t="str">
        <x:v>FE-08</x:v>
      </x:c>
      <x:c r="B12" s="91" t="str">
        <x:v>Bài tập phụ huynh</x:v>
      </x:c>
      <x:c r="C12" s="91" t="str">
        <x:v>Theo dõi tình trạng hoàn thành... ngoài hệ thống.</x:v>
      </x:c>
      <x:c r="D12" s="91" t="str">
        <x:v>Thu gọn</x:v>
      </x:c>
      <x:c r="E12" s="91" t="str">
        <x:v>Theo dõi bài tập, điểm và phản hồi.</x:v>
      </x:c>
      <x:c r="F12" s="91" t="str">
        <x:v>src/features/assignments/pages/ViewerAssignmentsPage.tsx</x:v>
      </x:c>
      <x:c r="G12" s="91" t="str">
        <x:v>Thông tin dài và một phần không cần nhắc lại mỗi lần.</x:v>
      </x:c>
      <x:c r="H12" s="91" t="str">
        <x:v>Mục đích trang rõ trong một câu.</x:v>
      </x:c>
      <x:c r="I12" s="91" t="str">
        <x:v>Thấp</x:v>
      </x:c>
      <x:c r="J12" s="91" t="str">
        <x:v>Đã xong</x:v>
      </x:c>
    </x:row>
    <x:row r="13" ht="62" customHeight="1">
      <x:c r="A13" s="91" t="str">
        <x:v>FE-09</x:v>
      </x:c>
      <x:c r="B13" s="91" t="str">
        <x:v>Lên lịch Fanpage</x:v>
      </x:c>
      <x:c r="C13" s="91" t="str">
        <x:v>Gói Firebase Spark hiện dùng không chạy tác vụ nền...</x:v>
      </x:c>
      <x:c r="D13" s="91" t="str">
        <x:v>Thu gọn</x:v>
      </x:c>
      <x:c r="E13" s="91" t="str">
        <x:v>Gói Spark không tự đăng theo lịch. Đến giờ, mở Hàng chờ và chọn Đăng ngay.</x:v>
      </x:c>
      <x:c r="F13" s="91" t="str">
        <x:v>src/features/marketing/components/fanpage/Composer.tsx</x:v>
      </x:c>
      <x:c r="G13" s="91" t="str">
        <x:v>Nếu xóa hoàn toàn, Admin có thể tưởng bài tự đăng; nếu giữ nguyên thì khó đọc.</x:v>
      </x:c>
      <x:c r="H13" s="91" t="str">
        <x:v>Giữ cảnh báo vận hành và hành động cần làm.</x:v>
      </x:c>
      <x:c r="I13" s="91" t="str">
        <x:v>Trung bình</x:v>
      </x:c>
      <x:c r="J13" s="91" t="str">
        <x:v>Đã xong</x:v>
      </x:c>
    </x:row>
    <x:row r="14" ht="62" customHeight="1">
      <x:c r="A14" s="91" t="str">
        <x:v>FE-10</x:v>
      </x:c>
      <x:c r="B14" s="91" t="str">
        <x:v>Xem trước Fanpage</x:v>
      </x:c>
      <x:c r="C14" s="91" t="str">
        <x:v>Hiển thị gần đúng như bài viết sẽ xuất hiện trên Facebook.</x:v>
      </x:c>
      <x:c r="D14" s="91" t="str">
        <x:v>Xóa</x:v>
      </x:c>
      <x:c r="E14" s="91" t="str"/>
      <x:c r="F14" s="91" t="str">
        <x:v>src/features/marketing/components/fanpage/Composer.tsx</x:v>
      </x:c>
      <x:c r="G14" s="91" t="str">
        <x:v>Lặp lại tiêu đề Bản xem trước.</x:v>
      </x:c>
      <x:c r="H14" s="91" t="str">
        <x:v>Khu vực preview sạch hơn.</x:v>
      </x:c>
      <x:c r="I14" s="91" t="str">
        <x:v>Thấp</x:v>
      </x:c>
      <x:c r="J14" s="91" t="str">
        <x:v>Đã xong</x:v>
      </x:c>
    </x:row>
    <x:row r="15" ht="62" customHeight="1">
      <x:c r="A15" s="91" t="str">
        <x:v>FE-11</x:v>
      </x:c>
      <x:c r="B15" s="91" t="str">
        <x:v>Tương tác lớp học</x:v>
      </x:c>
      <x:c r="C15" s="91" t="str">
        <x:v>7 mô tả lặp lại tiêu đề/khối dữ liệu</x:v>
      </x:c>
      <x:c r="D15" s="91" t="str">
        <x:v>Xóa</x:v>
      </x:c>
      <x:c r="E15" s="91" t="str"/>
      <x:c r="F15" s="91" t="str">
        <x:v>src/features/classroom/pages/ClassroomInteractionPage.tsx</x:v>
      </x:c>
      <x:c r="G15" s="91" t="str">
        <x:v>Mật độ chữ cao trong màn hình thao tác hằng ngày.</x:v>
      </x:c>
      <x:c r="H15" s="91" t="str">
        <x:v>Tập trung vào danh sách, số liệu và nút hành động.</x:v>
      </x:c>
      <x:c r="I15" s="91" t="str">
        <x:v>Thấp</x:v>
      </x:c>
      <x:c r="J15" s="91" t="str">
        <x:v>Đã xong</x:v>
      </x:c>
    </x:row>
    <x:row r="16" ht="62" customHeight="1">
      <x:c r="A16" s="91" t="str">
        <x:v>FE-12</x:v>
      </x:c>
      <x:c r="B16" s="91" t="str">
        <x:v>Xác nhận phát hành</x:v>
      </x:c>
      <x:c r="C16" s="91" t="str">
        <x:v>Thông báo tổng kết sẽ được gửi... có thể mở lại...</x:v>
      </x:c>
      <x:c r="D16" s="91" t="str">
        <x:v>Thu gọn</x:v>
      </x:c>
      <x:c r="E16" s="91" t="str">
        <x:v>Gửi tổng kết cho phụ huynh và khóa buổi học. Bạn vẫn có thể mở lại để đính chính.</x:v>
      </x:c>
      <x:c r="F16" s="91" t="str">
        <x:v>src/features/classroom/pages/ClassroomInteractionPage.tsx</x:v>
      </x:c>
      <x:c r="G16" s="91" t="str">
        <x:v>Không được xóa vì đây là hậu quả quan trọng, nhưng bản cũ quá dài.</x:v>
      </x:c>
      <x:c r="H16" s="91" t="str">
        <x:v>Giữ đủ hậu quả và khả năng phục hồi trong hai câu.</x:v>
      </x:c>
      <x:c r="I16" s="91" t="str">
        <x:v>Trung bình</x:v>
      </x:c>
      <x:c r="J16" s="91" t="str">
        <x:v>Đã xong</x:v>
      </x:c>
    </x:row>
    <x:row r="17" ht="62" customHeight="1">
      <x:c r="A17" s="91" t="str">
        <x:v>FE-13</x:v>
      </x:c>
      <x:c r="B17" s="91" t="str">
        <x:v>Trung tâm kết nối</x:v>
      </x:c>
      <x:c r="C17" s="91" t="str">
        <x:v>Theo dõi cấu hình công khai, trạng thái kết nối và ranh giới token...</x:v>
      </x:c>
      <x:c r="D17" s="91" t="str">
        <x:v>Xóa</x:v>
      </x:c>
      <x:c r="E17" s="91" t="str"/>
      <x:c r="F17" s="91" t="str">
        <x:v>src/features/settings/components/IntegrationsWorkspace.tsx</x:v>
      </x:c>
      <x:c r="G17" s="91" t="str">
        <x:v>Thuật ngữ kỹ thuật không giúp Admin hoàn thành tác vụ.</x:v>
      </x:c>
      <x:c r="H17" s="91" t="str">
        <x:v>Header tập trung vào tên khu vực.</x:v>
      </x:c>
      <x:c r="I17" s="91" t="str">
        <x:v>Thấp</x:v>
      </x:c>
      <x:c r="J17" s="91" t="str">
        <x:v>Đã xong</x:v>
      </x:c>
    </x:row>
    <x:row r="18" ht="62" customHeight="1">
      <x:c r="A18" s="91" t="str">
        <x:v>FE-14</x:v>
      </x:c>
      <x:c r="B18" s="91" t="str">
        <x:v>Google Drive</x:v>
      </x:c>
      <x:c r="C18" s="91" t="str">
        <x:v>Picker, drive.file và token ngắn hạn...</x:v>
      </x:c>
      <x:c r="D18" s="91" t="str">
        <x:v>Thu gọn</x:v>
      </x:c>
      <x:c r="E18" s="91" t="str">
        <x:v>Tải và chọn tệp giáo án từ Google Drive.</x:v>
      </x:c>
      <x:c r="F18" s="91" t="str">
        <x:v>src/features/settings/components/IntegrationsWorkspace.tsx</x:v>
      </x:c>
      <x:c r="G18" s="91" t="str">
        <x:v>Lộ chi tiết OAuth thay vì lợi ích người dùng.</x:v>
      </x:c>
      <x:c r="H18" s="91" t="str">
        <x:v>Mô tả theo tác vụ.</x:v>
      </x:c>
      <x:c r="I18" s="91" t="str">
        <x:v>Thấp</x:v>
      </x:c>
      <x:c r="J18" s="91" t="str">
        <x:v>Đã xong</x:v>
      </x:c>
    </x:row>
    <x:row r="19" ht="62" customHeight="1">
      <x:c r="A19" s="91" t="str">
        <x:v>FE-15</x:v>
      </x:c>
      <x:c r="B19" s="91" t="str">
        <x:v>Facebook &amp; Messenger</x:v>
      </x:c>
      <x:c r="C19" s="91" t="str">
        <x:v>Kết nối bằng tài khoản... luồng xác thực chính thức của Meta.</x:v>
      </x:c>
      <x:c r="D19" s="91" t="str">
        <x:v>Thu gọn</x:v>
      </x:c>
      <x:c r="E19" s="91" t="str">
        <x:v>Kết nối Fanpage để dùng Messenger và đăng bài.</x:v>
      </x:c>
      <x:c r="F19" s="91" t="str">
        <x:v>src/features/settings/components/IntegrationsWorkspace.tsx</x:v>
      </x:c>
      <x:c r="G19" s="91" t="str">
        <x:v>Câu dài, lặp lại các bước trong dialog kết nối.</x:v>
      </x:c>
      <x:c r="H19" s="91" t="str">
        <x:v>Nêu đúng kết quả sau kết nối.</x:v>
      </x:c>
      <x:c r="I19" s="91" t="str">
        <x:v>Thấp</x:v>
      </x:c>
      <x:c r="J19" s="91" t="str">
        <x:v>Đã xong</x:v>
      </x:c>
    </x:row>
    <x:row r="20" ht="62" customHeight="1">
      <x:c r="A20" s="91" t="str">
        <x:v>FE-16</x:v>
      </x:c>
      <x:c r="B20" s="91" t="str">
        <x:v>VietQR tích hợp</x:v>
      </x:c>
      <x:c r="C20" s="91" t="str">
        <x:v>Adapter timeout; thông tin nhận tiền được snapshot...</x:v>
      </x:c>
      <x:c r="D20" s="91" t="str">
        <x:v>Thu gọn</x:v>
      </x:c>
      <x:c r="E20" s="91" t="str">
        <x:v>Thiết lập thông tin nhận tiền cho hóa đơn.</x:v>
      </x:c>
      <x:c r="F20" s="91" t="str">
        <x:v>src/features/settings/components/IntegrationsWorkspace.tsx</x:v>
      </x:c>
      <x:c r="G20" s="91" t="str">
        <x:v>Thuật ngữ kỹ thuật gây khó hiểu.</x:v>
      </x:c>
      <x:c r="H20" s="91" t="str">
        <x:v>Ngôn ngữ nghiệp vụ rõ ràng.</x:v>
      </x:c>
      <x:c r="I20" s="91" t="str">
        <x:v>Thấp</x:v>
      </x:c>
      <x:c r="J20" s="91" t="str">
        <x:v>Đã xong</x:v>
      </x:c>
    </x:row>
    <x:row r="21" ht="62" customHeight="1">
      <x:c r="A21" s="91" t="str">
        <x:v>FE-17</x:v>
      </x:c>
      <x:c r="B21" s="91" t="str">
        <x:v>Cấu hình công khai</x:v>
      </x:c>
      <x:c r="C21" s="91" t="str">
        <x:v>Client secret, access token và refresh token bị cấm.</x:v>
      </x:c>
      <x:c r="D21" s="91" t="str">
        <x:v>Xóa</x:v>
      </x:c>
      <x:c r="E21" s="91" t="str"/>
      <x:c r="F21" s="91" t="str">
        <x:v>src/features/settings/components/IntegrationsWorkspace.tsx</x:v>
      </x:c>
      <x:c r="G21" s="91" t="str">
        <x:v>Đây là ràng buộc code/rules, không nên giao cho người dùng ghi nhớ.</x:v>
      </x:c>
      <x:c r="H21" s="91" t="str">
        <x:v>Form gọn; bảo mật vẫn do schema/rules kiểm soát.</x:v>
      </x:c>
      <x:c r="I21" s="91" t="str">
        <x:v>Trung bình</x:v>
      </x:c>
      <x:c r="J21" s="91" t="str">
        <x:v>Đã xong</x:v>
      </x:c>
    </x:row>
    <x:row r="22" ht="62" customHeight="1">
      <x:c r="A22" s="91" t="str">
        <x:v>FE-18</x:v>
      </x:c>
      <x:c r="B22" s="91" t="str">
        <x:v>Utility Template</x:v>
      </x:c>
      <x:c r="C22" s="91" t="str">
        <x:v>Reviewer có thể xem danh mục...</x:v>
      </x:c>
      <x:c r="D22" s="91" t="str">
        <x:v>Xóa</x:v>
      </x:c>
      <x:c r="E22" s="91" t="str"/>
      <x:c r="F22" s="91" t="str">
        <x:v>src/features/announcements/pages/ChatPage.tsx</x:v>
      </x:c>
      <x:c r="G22" s="91" t="str">
        <x:v>Nội dung dành cho quy trình review Meta, không phải người vận hành.</x:v>
      </x:c>
      <x:c r="H22" s="91" t="str">
        <x:v>Giảm ngữ cảnh nội bộ trên UI.</x:v>
      </x:c>
      <x:c r="I22" s="91" t="str">
        <x:v>Thấp</x:v>
      </x:c>
      <x:c r="J22" s="91" t="str">
        <x:v>Đã xong</x:v>
      </x:c>
    </x:row>
    <x:row r="23" ht="62" customHeight="1">
      <x:c r="A23" s="91" t="str">
        <x:v>FE-19</x:v>
      </x:c>
      <x:c r="B23" s="91" t="str">
        <x:v>ACCOUNT_UPDATE</x:v>
      </x:c>
      <x:c r="C23" s="91" t="str">
        <x:v>Chỉ dùng ACCOUNT_UPDATE... Chủ đề là phân loại nội bộ...</x:v>
      </x:c>
      <x:c r="D23" s="91" t="str">
        <x:v>Thu gọn</x:v>
      </x:c>
      <x:c r="E23" s="91" t="str">
        <x:v>Chỉ dùng cho thông báo cập nhật tài khoản theo chính sách Meta.</x:v>
      </x:c>
      <x:c r="F23" s="91" t="str">
        <x:v>src/features/announcements/pages/ChatPage.tsx</x:v>
      </x:c>
      <x:c r="G23" s="91" t="str">
        <x:v>Không thể xóa cảnh báo chính sách, nhưng bản cũ có jargon nội bộ.</x:v>
      </x:c>
      <x:c r="H23" s="91" t="str">
        <x:v>Giữ guardrail chính sách trong một câu.</x:v>
      </x:c>
      <x:c r="I23" s="91" t="str">
        <x:v>Trung bình</x:v>
      </x:c>
      <x:c r="J23" s="91" t="str">
        <x:v>Đã xong</x:v>
      </x:c>
    </x:row>
    <x:row r="24" ht="62" customHeight="1">
      <x:c r="A24" s="91" t="str">
        <x:v>FE-20</x:v>
      </x:c>
      <x:c r="B24" s="91" t="str">
        <x:v>Empty state Chat</x:v>
      </x:c>
      <x:c r="C24" s="91" t="str">
        <x:v>Hai biến thể hướng dẫn dài và gần trùng nhau</x:v>
      </x:c>
      <x:c r="D24" s="91" t="str">
        <x:v>Thu gọn</x:v>
      </x:c>
      <x:c r="E24" s="91" t="str">
        <x:v>Chọn Nhắn mới để bắt đầu.</x:v>
      </x:c>
      <x:c r="F24" s="91" t="str">
        <x:v>src/features/announcements/pages/ChatPage.tsx</x:v>
      </x:c>
      <x:c r="G24" s="91" t="str">
        <x:v>Thông điệp không nhất quán giữa mobile/desktop.</x:v>
      </x:c>
      <x:c r="H24" s="91" t="str">
        <x:v>Empty state nhất quán và dễ quét.</x:v>
      </x:c>
      <x:c r="I24" s="91" t="str">
        <x:v>Thấp</x:v>
      </x:c>
      <x:c r="J24" s="91" t="str">
        <x:v>Đã xong</x:v>
      </x:c>
    </x:row>
    <x:row r="25" ht="62" customHeight="1">
      <x:c r="A25" s="91" t="str">
        <x:v>FE-21</x:v>
      </x:c>
      <x:c r="B25" s="91" t="str">
        <x:v>Quota Spark</x:v>
      </x:c>
      <x:c r="C25" s="91" t="str">
        <x:v>Hạn mức ngày... mức đã dùng xem tại Firebase Console lặp trên mỗi thẻ.</x:v>
      </x:c>
      <x:c r="D25" s="91" t="str">
        <x:v>Xóa</x:v>
      </x:c>
      <x:c r="E25" s="91" t="str"/>
      <x:c r="F25" s="91" t="str">
        <x:v>src/features/settings/pages/SettingsAdminPage.tsx</x:v>
      </x:c>
      <x:c r="G25" s="91" t="str">
        <x:v>Lặp cùng một câu ba lần.</x:v>
      </x:c>
      <x:c r="H25" s="91" t="str">
        <x:v>Thẻ quota chỉ còn số và nhãn.</x:v>
      </x:c>
      <x:c r="I25" s="91" t="str">
        <x:v>Thấp</x:v>
      </x:c>
      <x:c r="J25" s="91" t="str">
        <x:v>Đã xong</x:v>
      </x:c>
    </x:row>
    <x:row r="26" ht="62" customHeight="1">
      <x:c r="A26" s="91" t="str">
        <x:v>FE-22</x:v>
      </x:c>
      <x:c r="B26" s="91" t="str">
        <x:v>Vận hành Spark</x:v>
      </x:c>
      <x:c r="C26" s="91" t="str">
        <x:v>Telemetry, heartbeat, atomic summary, count aggregation</x:v>
      </x:c>
      <x:c r="D26" s="91" t="str">
        <x:v>Thu gọn / xóa</x:v>
      </x:c>
      <x:c r="E26" s="91" t="str">
        <x:v>Firebase Console là nguồn số liệu sử dụng chính thức.</x:v>
      </x:c>
      <x:c r="F26" s="91" t="str">
        <x:v>src/features/settings/pages/SettingsAdminPage.tsx</x:v>
      </x:c>
      <x:c r="G26" s="91" t="str">
        <x:v>Chi tiết triển khai làm màn hình Admin giống tài liệu kỹ thuật.</x:v>
      </x:c>
      <x:c r="H26" s="91" t="str">
        <x:v>Giữ nguồn kiểm tra usage và bỏ phần không hành động được.</x:v>
      </x:c>
      <x:c r="I26" s="91" t="str">
        <x:v>Trung bình</x:v>
      </x:c>
      <x:c r="J26" s="91" t="str">
        <x:v>Đã xong</x:v>
      </x:c>
    </x:row>
    <x:row r="27" ht="62" customHeight="1">
      <x:c r="A27" s="92" t="str">
        <x:v>FE-23</x:v>
      </x:c>
      <x:c r="B27" s="92" t="str">
        <x:v>Thiết lập VietQR</x:v>
      </x:c>
      <x:c r="C27" s="92" t="str">
        <x:v>Snapshot, nguồn ảnh img.vietqr.io và mô tả hồ sơ chung</x:v>
      </x:c>
      <x:c r="D27" s="92" t="str">
        <x:v>Thu gọn / xóa</x:v>
      </x:c>
      <x:c r="E27" s="92" t="str">
        <x:v>Áp dụng cho hóa đơn mới.</x:v>
      </x:c>
      <x:c r="F27" s="92" t="str">
        <x:v>src/features/settings/pages/SettingsAdminPage.tsx</x:v>
      </x:c>
      <x:c r="G27" s="92" t="str">
        <x:v>Jargon không cần thiết và lặp ngữ cảnh.</x:v>
      </x:c>
      <x:c r="H27" s="92" t="str">
        <x:v>Chỉ giữ thông tin có tác động đến dữ liệu.</x:v>
      </x:c>
      <x:c r="I27" s="92" t="str">
        <x:v>Thấp</x:v>
      </x:c>
      <x:c r="J27" s="92" t="str">
        <x:v>Đã xong</x:v>
      </x:c>
    </x:row>
  </x:sheetData>
  <x:mergeCells>
    <x:mergeCell ref="A1:J1"/>
    <x:mergeCell ref="A2:J2"/>
  </x:mergeCells>
  <x:conditionalFormatting sqref="D5:D27">
    <x:cfRule type="containsText" dxfId="3" priority="1" operator="containsText" text="Xóa"/>
    <x:cfRule type="containsText" dxfId="4" priority="2" operator="containsText" text="Thu gọn"/>
  </x:conditionalFormatting>
  <x:conditionalFormatting sqref="J5:J27">
    <x:cfRule type="containsText" dxfId="5" priority="3" operator="containsText" text="Đã xong"/>
  </x:conditionalFormatting>
  <x:dataValidations count="2">
    <x:dataValidation type="list" sqref="D5:D100">
      <x:formula1>"Xóa,Thu gọn,Thu gọn / xóa,Giữ nguyên"</x:formula1>
    </x:dataValidation>
    <x:dataValidation type="list" sqref="J5:J100">
      <x:formula1>"Chưa làm,Đang làm,Đã xong"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73825bcb54b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3" t="str">
        <x:v>HƯỚNG DẪN SỬ DỤNG WORKBOOK</x:v>
      </x:c>
      <x:c r="B1" s="3" t="str">
        <x:v>HƯỚNG DẪN SỬ DỤNG WORKBOOK</x:v>
      </x:c>
      <x:c r="C1" s="3" t="str">
        <x:v>HƯỚNG DẪN SỬ DỤNG WORKBOOK</x:v>
      </x:c>
      <x:c r="D1" s="3" t="str">
        <x:v>HƯỚNG DẪN SỬ DỤNG WORKBOOK</x:v>
      </x:c>
      <x:c r="E1" s="3" t="str">
        <x:v>HƯỚNG DẪN SỬ DỤNG WORKBOOK</x:v>
      </x:c>
      <x:c r="F1" s="3" t="str">
        <x:v>HƯỚNG DẪN SỬ DỤNG WORKBOOK</x:v>
      </x:c>
    </x:row>
    <x:row r="3" ht="34" customHeight="1">
      <x:c r="A3" s="80" t="str">
        <x:v>Trường</x:v>
      </x:c>
      <x:c r="B3" s="82" t="str">
        <x:v>Ý nghĩa</x:v>
      </x:c>
    </x:row>
    <x:row r="4" ht="34" customHeight="1">
      <x:c r="A4" s="108" t="str">
        <x:v>Ưu tiên P1</x:v>
      </x:c>
      <x:c r="B4" s="108" t="str">
        <x:v>Chặn CI hoặc cần xử lý ngay trước khi mở rộng thay đổi.</x:v>
      </x:c>
    </x:row>
    <x:row r="5" ht="34" customHeight="1">
      <x:c r="A5" s="109" t="str">
        <x:v>Ưu tiên P2</x:v>
      </x:c>
      <x:c r="B5" s="109" t="str">
        <x:v>Ảnh hưởng bảo mật, hiệu năng, chất lượng hoặc khả năng bảo trì đáng kể.</x:v>
      </x:c>
    </x:row>
    <x:row r="6" ht="34" customHeight="1">
      <x:c r="A6" s="109" t="str">
        <x:v>Ưu tiên P3</x:v>
      </x:c>
      <x:c r="B6" s="109" t="str">
        <x:v>Nợ vệ sinh và tối ưu dài hạn; xử lý sau khi có lưới kiểm thử.</x:v>
      </x:c>
    </x:row>
    <x:row r="7" ht="34" customHeight="1">
      <x:c r="A7" s="109" t="str">
        <x:v>Effort</x:v>
      </x:c>
      <x:c r="B7" s="109" t="str">
        <x:v>Ước lượng ngày công kỹ thuật, chưa gồm thời gian chờ review hoặc phối hợp bên ngoài.</x:v>
      </x:c>
    </x:row>
    <x:row r="8" ht="34" customHeight="1">
      <x:c r="A8" s="110" t="str">
        <x:v>Trạng thái</x:v>
      </x:c>
      <x:c r="B8" s="110" t="str">
        <x:v>Có data validation để cập nhật Chưa làm / Đang làm / Đã xong / Tạm hoãn.</x:v>
      </x:c>
    </x:row>
    <x:row r="10">
      <x:c r="A10" s="111" t="str">
        <x:v>Nguyên tắc triển khai</x:v>
      </x:c>
      <x:c r="B10" s="111"/>
      <x:c r="C10" s="111"/>
      <x:c r="D10" s="111"/>
      <x:c r="E10" s="111"/>
      <x:c r="F10" s="111"/>
    </x:row>
    <x:row r="11" ht="28" customHeight="1">
      <x:c r="A11" s="113" t="str">
        <x:v>1. Thay đổi nhỏ, mỗi PR giải quyết một hạng mục có tiêu chí nghiệm thu rõ.</x:v>
      </x:c>
      <x:c r="B11" s="113"/>
      <x:c r="C11" s="113"/>
      <x:c r="D11" s="113"/>
      <x:c r="E11" s="113"/>
      <x:c r="F11" s="113"/>
    </x:row>
    <x:row r="12" ht="28" customHeight="1">
      <x:c r="A12" s="113" t="str">
        <x:v>2. Không refactor god component trước khi có test hành vi cho luồng tương ứng.</x:v>
      </x:c>
      <x:c r="B12" s="113"/>
      <x:c r="C12" s="113"/>
      <x:c r="D12" s="113"/>
      <x:c r="E12" s="113"/>
      <x:c r="F12" s="113"/>
    </x:row>
    <x:row r="13" ht="28" customHeight="1">
      <x:c r="A13" s="113" t="str">
        <x:v>3. Không xóa cảnh báo pháp lý, lỗi, trạng thái lưu/gửi hoặc hậu quả không thể suy ra từ UI.</x:v>
      </x:c>
      <x:c r="B13" s="113"/>
      <x:c r="C13" s="113"/>
      <x:c r="D13" s="113"/>
      <x:c r="E13" s="113"/>
      <x:c r="F13" s="113"/>
    </x:row>
    <x:row r="14" ht="28" customHeight="1">
      <x:c r="A14" s="113" t="str">
        <x:v>4. Chạy lint, typecheck, source tests, rules tests và worker tests theo mức rủi ro.</x:v>
      </x:c>
      <x:c r="B14" s="113"/>
      <x:c r="C14" s="113"/>
      <x:c r="D14" s="113"/>
      <x:c r="E14" s="113"/>
      <x:c r="F14" s="113"/>
    </x:row>
    <x:row r="15" ht="28" customHeight="1">
      <x:c r="A15" s="113" t="str">
        <x:v>5. Cập nhật Trạng thái và bằng chứng nghiệm thu ngay trong workbook sau mỗi PR.</x:v>
      </x:c>
      <x:c r="B15" s="113"/>
      <x:c r="C15" s="113"/>
      <x:c r="D15" s="113"/>
      <x:c r="E15" s="113"/>
      <x:c r="F15" s="113"/>
    </x:row>
  </x:sheetData>
  <x:mergeCells>
    <x:mergeCell ref="A1:F1"/>
    <x:mergeCell ref="A10:F10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