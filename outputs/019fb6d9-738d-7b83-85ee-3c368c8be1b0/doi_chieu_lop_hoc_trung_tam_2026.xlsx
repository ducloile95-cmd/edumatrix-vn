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c820929b3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d721489204b54022"/>
    <x:sheet xmlns:r="http://schemas.openxmlformats.org/officeDocument/2006/relationships" name="Lớp đề xuất" sheetId="2" r:id="Re35e228eecbd4368"/>
    <x:sheet xmlns:r="http://schemas.openxmlformats.org/officeDocument/2006/relationships" name="Classes_System" sheetId="3" r:id="Rcf1b4c4fd27f4812"/>
    <x:sheet xmlns:r="http://schemas.openxmlformats.org/officeDocument/2006/relationships" name="Học viên" sheetId="4" r:id="Rf7dee4cb2f2a4294"/>
    <x:sheet xmlns:r="http://schemas.openxmlformats.org/officeDocument/2006/relationships" name="Khóa học cần tạo" sheetId="5" r:id="R43cf7e336415462c"/>
    <x:sheet xmlns:r="http://schemas.openxmlformats.org/officeDocument/2006/relationships" name="Đối chiếu codebase" sheetId="6" r:id="Rce3a0c69c16743f3"/>
    <x:sheet xmlns:r="http://schemas.openxmlformats.org/officeDocument/2006/relationships" name="Dữ liệu gốc" sheetId="7" r:id="Ra8199f95e5b1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yyyy-mm-dd"/>
    <x:numFmt numFmtId="202" formatCode="#,##0"/>
  </x:numFmts>
  <x:fonts count="11">
    <x:font>
      <x:sz val="11"/>
      <x:name val="Carlito"/>
    </x:font>
    <x:font>
      <x:b/>
      <x:sz val="18"/>
      <x:color rgb="FFFFFFFF"/>
      <x:name val="Aptos Display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11"/>
      <x:color rgb="FF1F2937"/>
      <x:name val="Aptos"/>
    </x:font>
    <x:font>
      <x:b/>
      <x:sz val="14"/>
      <x:color rgb="FF0F766E"/>
      <x:name val="Aptos Display"/>
    </x:font>
    <x:font>
      <x:b/>
      <x:sz val="11"/>
      <x:color rgb="FFFFFFFF"/>
      <x:name val="Aptos"/>
    </x:font>
    <x:font>
      <x:b/>
      <x:sz val="11"/>
      <x:color rgb="FF2563EB"/>
      <x:name val="Carlito"/>
    </x:font>
    <x:font>
      <x:b/>
      <x:sz val="10"/>
      <x:color rgb="FF1F2937"/>
      <x:name val="Aptos"/>
    </x:font>
    <x:font>
      <x:b/>
      <x:sz val="11"/>
      <x:color rgb="FF64748B"/>
      <x:name val="Carlito"/>
    </x:font>
    <x:font>
      <x:sz val="9"/>
      <x:color rgb="FF2563E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7F9FC"/>
      </x:patternFill>
    </x:fill>
    <x:fill>
      <x:patternFill patternType="solid">
        <x:fgColor rgb="FFE6F5F2"/>
      </x:patternFill>
    </x:fill>
    <x:fill>
      <x:patternFill patternType="solid">
        <x:fgColor rgb="FFFFF4D6"/>
      </x:patternFill>
    </x:fill>
    <x:fill>
      <x:patternFill patternType="solid">
        <x:fgColor rgb="FF0F766E"/>
      </x:patternFill>
    </x:fill>
  </x:fills>
  <x:borders count="19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</x:border>
    <x:border>
      <x:right style="thin">
        <x:color rgb="FFD8E0EA"/>
      </x:right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left style="thin">
        <x:color rgb="FFF2C96D"/>
      </x:left>
      <x:top style="thin">
        <x:color rgb="FFF2C96D"/>
      </x:top>
    </x:border>
    <x:border>
      <x:top style="thin">
        <x:color rgb="FFF2C96D"/>
      </x:top>
    </x:border>
    <x:border>
      <x:right style="thin">
        <x:color rgb="FFF2C96D"/>
      </x:right>
      <x:top style="thin">
        <x:color rgb="FFF2C96D"/>
      </x:top>
    </x:border>
    <x:border>
      <x:left style="thin">
        <x:color rgb="FFF2C96D"/>
      </x:left>
    </x:border>
    <x:border>
      <x:right style="thin">
        <x:color rgb="FFF2C96D"/>
      </x:right>
    </x:border>
    <x:border>
      <x:left style="thin">
        <x:color rgb="FFF2C96D"/>
      </x:left>
      <x:bottom style="thin">
        <x:color rgb="FFF2C96D"/>
      </x:bottom>
    </x:border>
    <x:border>
      <x:bottom style="thin">
        <x:color rgb="FFF2C96D"/>
      </x:bottom>
    </x:border>
    <x:border>
      <x:right style="thin">
        <x:color rgb="FFF2C96D"/>
      </x:right>
      <x:bottom style="thin">
        <x:color rgb="FFF2C96D"/>
      </x:bottom>
    </x:border>
    <x:border>
      <x:bottom style="thin">
        <x:color rgb="FFD8E0EA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6" borderId="4" xfId="0" applyNumberFormat="1" applyFont="1" applyFill="1" applyBorder="1"/>
    <x:xf numFmtId="0" fontId="4" fillId="6" borderId="6" xfId="0" applyNumberFormat="1" applyFont="1" applyFill="1" applyBorder="1"/>
    <x:xf numFmtId="0" fontId="4" fillId="6" borderId="8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0" fontId="5" fillId="6" borderId="8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5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8" xfId="0" applyNumberFormat="1" applyFont="1" applyFill="1" applyBorder="1"/>
    <x:xf numFmtId="0" fontId="2" fillId="0" borderId="18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2" fillId="0" borderId="9" xfId="0" applyNumberFormat="1" applyFont="1" applyFill="1" applyBorder="1"/>
    <x:xf numFmtId="0" fontId="2" fillId="0" borderId="1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200" fontId="2" fillId="0" borderId="18" xfId="0" applyNumberFormat="1" applyFont="1" applyFill="1" applyBorder="1" applyAlignment="1">
      <x:alignment vertical="top"/>
    </x:xf>
    <x:xf numFmtId="200" fontId="2" fillId="0" borderId="9" xfId="0" applyNumberFormat="1" applyFont="1" applyFill="1" applyBorder="1" applyAlignment="1">
      <x:alignment vertical="top"/>
    </x:xf>
    <x:xf numFmtId="0" fontId="2" fillId="0" borderId="18" xfId="0" applyNumberFormat="1" applyFont="1" applyFill="1" applyBorder="1" applyAlignment="1">
      <x:alignment horizontal="center" vertical="top"/>
    </x:xf>
    <x:xf numFmtId="0" fontId="2" fillId="0" borderId="9" xfId="0" applyNumberFormat="1" applyFont="1" applyFill="1" applyBorder="1" applyAlignment="1">
      <x:alignment horizontal="center" vertical="top"/>
    </x:xf>
    <x:xf numFmtId="0" fontId="8" fillId="0" borderId="1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1" fontId="2" fillId="0" borderId="18" xfId="0" applyNumberFormat="1" applyFont="1" applyFill="1" applyBorder="1" applyAlignment="1">
      <x:alignment vertical="top"/>
    </x:xf>
    <x:xf numFmtId="201" fontId="2" fillId="0" borderId="9" xfId="0" applyNumberFormat="1" applyFont="1" applyFill="1" applyBorder="1" applyAlignment="1">
      <x:alignment vertical="top"/>
    </x:xf>
    <x:xf numFmtId="0" fontId="2" fillId="7" borderId="18" xfId="0" applyNumberFormat="1" applyFont="1" applyFill="1" applyBorder="1" applyAlignment="1">
      <x:alignment vertical="top"/>
    </x:xf>
    <x:xf numFmtId="0" fontId="2" fillId="7" borderId="9" xfId="0" applyNumberFormat="1" applyFont="1" applyFill="1" applyBorder="1" applyAlignment="1">
      <x:alignment vertical="top"/>
    </x:xf>
    <x:xf numFmtId="200" fontId="2" fillId="7" borderId="18" xfId="0" applyNumberFormat="1" applyFont="1" applyFill="1" applyBorder="1" applyAlignment="1">
      <x:alignment vertical="top"/>
    </x:xf>
    <x:xf numFmtId="200" fontId="2" fillId="7" borderId="9" xfId="0" applyNumberFormat="1" applyFont="1" applyFill="1" applyBorder="1" applyAlignment="1">
      <x:alignment vertical="top"/>
    </x:xf>
    <x:xf numFmtId="202" fontId="2" fillId="7" borderId="18" xfId="0" applyNumberFormat="1" applyFont="1" applyFill="1" applyBorder="1" applyAlignment="1">
      <x:alignment vertical="top"/>
    </x:xf>
    <x:xf numFmtId="202" fontId="2" fillId="0" borderId="18" xfId="0" applyNumberFormat="1" applyFont="1" applyFill="1" applyBorder="1" applyAlignment="1">
      <x:alignment vertical="top"/>
    </x:xf>
    <x:xf numFmtId="202" fontId="2" fillId="7" borderId="9" xfId="0" applyNumberFormat="1" applyFont="1" applyFill="1" applyBorder="1" applyAlignment="1">
      <x:alignment vertical="top"/>
    </x:xf>
    <x:xf numFmtId="202" fontId="2" fillId="0" borderId="9" xfId="0" applyNumberFormat="1" applyFont="1" applyFill="1" applyBorder="1" applyAlignment="1">
      <x:alignment vertical="top"/>
    </x:xf>
    <x:xf numFmtId="201" fontId="2" fillId="7" borderId="18" xfId="0" applyNumberFormat="1" applyFont="1" applyFill="1" applyBorder="1" applyAlignment="1">
      <x:alignment vertical="top"/>
    </x:xf>
    <x:xf numFmtId="201" fontId="2" fillId="7" borderId="9" xfId="0" applyNumberFormat="1" applyFont="1" applyFill="1" applyBorder="1" applyAlignment="1">
      <x:alignment vertical="top"/>
    </x:xf>
    <x:xf numFmtId="0" fontId="2" fillId="0" borderId="18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0F766E"/>
      </x:font>
      <x:fill>
        <x:patternFill patternType="solid">
          <x:bgColor rgb="FFE6F5F2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4021cdd7944df" /><Relationship Type="http://schemas.openxmlformats.org/officeDocument/2006/relationships/theme" Target="/xl/theme/theme1.xml" Id="Re517566c2045464b" /><Relationship Type="http://schemas.openxmlformats.org/officeDocument/2006/relationships/sharedStrings" Target="/xl/sharedStrings.xml" Id="Rac5565677d6342d3" /><Relationship Type="http://schemas.openxmlformats.org/officeDocument/2006/relationships/worksheet" Target="/xl/worksheets/sheet1.xml" Id="Rd721489204b54022" /><Relationship Type="http://schemas.openxmlformats.org/officeDocument/2006/relationships/worksheet" Target="/xl/worksheets/sheet2.xml" Id="Re35e228eecbd4368" /><Relationship Type="http://schemas.openxmlformats.org/officeDocument/2006/relationships/worksheet" Target="/xl/worksheets/sheet3.xml" Id="Rcf1b4c4fd27f4812" /><Relationship Type="http://schemas.openxmlformats.org/officeDocument/2006/relationships/worksheet" Target="/xl/worksheets/sheet4.xml" Id="Rf7dee4cb2f2a4294" /><Relationship Type="http://schemas.openxmlformats.org/officeDocument/2006/relationships/worksheet" Target="/xl/worksheets/sheet5.xml" Id="R43cf7e336415462c" /><Relationship Type="http://schemas.openxmlformats.org/officeDocument/2006/relationships/worksheet" Target="/xl/worksheets/sheet6.xml" Id="Rce3a0c69c16743f3" /><Relationship Type="http://schemas.openxmlformats.org/officeDocument/2006/relationships/worksheet" Target="/xl/worksheets/sheet7.xml" Id="Ra8199f95e5b14621" /></Relationships>
</file>

<file path=xl/tables/table1.xml><?xml version="1.0" encoding="utf-8"?>
<x:table xmlns:x="http://schemas.openxmlformats.org/spreadsheetml/2006/main" id="1" name="ProposedClassesTable" displayName="ProposedClassesTable" ref="A4:L21" headerRowCount="1" totalsRowCount="0" totalsRowShown="0">
  <x:tableColumns count="12">
    <x:tableColumn id="1" name="STT"/>
    <x:tableColumn id="2" name="Tên nguồn"/>
    <x:tableColumn id="3" name="Chương trình chuẩn"/>
    <x:tableColumn id="4" name="Tên lớp hệ thống"/>
    <x:tableColumn id="5" name="Lịch học mô tả"/>
    <x:tableColumn id="6" name="Ngày khai giảng"/>
    <x:tableColumn id="7" name="Số HV nguồn"/>
    <x:tableColumn id="8" name="Số HV đối chiếu"/>
    <x:tableColumn id="9" name="Kết quả"/>
    <x:tableColumn id="10" name="Danh sách học viên"/>
    <x:tableColumn id="11" name="Tình trạng lịch"/>
    <x:tableColumn id="12" name="Ghi chú 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ClassesTable" displayName="SystemClassesTable" ref="A4:S21" headerRowCount="1" totalsRowCount="0" totalsRowShown="0">
  <x:tableColumns count="19">
    <x:tableColumn id="1" name="name*"/>
    <x:tableColumn id="2" name="courseName tham chiếu"/>
    <x:tableColumn id="3" name="courseId*"/>
    <x:tableColumn id="4" name="subjectIds*"/>
    <x:tableColumn id="5" name="teacherIds*"/>
    <x:tableColumn id="6" name="studentIds"/>
    <x:tableColumn id="7" name="scheduleText"/>
    <x:tableColumn id="8" name="location"/>
    <x:tableColumn id="9" name="status*"/>
    <x:tableColumn id="10" name="startDate"/>
    <x:tableColumn id="11" name="daysOfWeek (0=CN)"/>
    <x:tableColumn id="12" name="startTime"/>
    <x:tableColumn id="13" name="endTime"/>
    <x:tableColumn id="14" name="sessionCount"/>
    <x:tableColumn id="15" name="Kiểu tạo"/>
    <x:tableColumn id="16" name="Thiếu bắt buộc"/>
    <x:tableColumn id="17" name="Sẵn sàng ClassDoc"/>
    <x:tableColumn id="18" name="Sẵn sàng lịch thông minh"/>
    <x:tableColumn id="19" name="Nguồ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udentsStagingTable" displayName="StudentsStagingTable" ref="A4:N34" headerRowCount="1" totalsRowCount="0" totalsRowShown="0">
  <x:tableColumns count="14">
    <x:tableColumn id="1" name="STT"/>
    <x:tableColumn id="2" name="studentCode*"/>
    <x:tableColumn id="3" name="Họ tên nguồn"/>
    <x:tableColumn id="4" name="fullName"/>
    <x:tableColumn id="5" name="nickname"/>
    <x:tableColumn id="6" name="Lớp hệ thống"/>
    <x:tableColumn id="7" name="Chương trình"/>
    <x:tableColumn id="8" name="Ngày vào học"/>
    <x:tableColumn id="9" name="dateOfBirth*"/>
    <x:tableColumn id="10" name="staffNote"/>
    <x:tableColumn id="11" name="Trạng thái"/>
    <x:tableColumn id="12" name="Sẵn sàng StudentDoc"/>
    <x:tableColumn id="13" name="Tên lớp nguồn"/>
    <x:tableColumn id="14" name="Nhãn gố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ursesStagingTable" displayName="CoursesStagingTable" ref="A4:M6" headerRowCount="1" totalsRowCount="0" totalsRowShown="0">
  <x:tableColumns count="13">
    <x:tableColumn id="1" name="name*"/>
    <x:tableColumn id="2" name="courseId"/>
    <x:tableColumn id="3" name="subjectIds*"/>
    <x:tableColumn id="4" name="teacherIds*"/>
    <x:tableColumn id="5" name="pricePerSession*"/>
    <x:tableColumn id="6" name="totalSessions*"/>
    <x:tableColumn id="7" name="tuitionFee (công thức)"/>
    <x:tableColumn id="8" name="startDate*"/>
    <x:tableColumn id="9" name="endDate*"/>
    <x:tableColumn id="10" name="status*"/>
    <x:tableColumn id="11" name="Thiếu dữ liệu"/>
    <x:tableColumn id="12" name="Sẵn sàng"/>
    <x:tableColumn id="13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debaseMappingTable" displayName="CodebaseMappingTable" ref="A4:G25" headerRowCount="1" totalsRowCount="0" totalsRowShown="0">
  <x:tableColumns count="7">
    <x:tableColumn id="1" name="Đối tượng"/>
    <x:tableColumn id="2" name="Trường hệ thống"/>
    <x:tableColumn id="3" name="Bắt buộc"/>
    <x:tableColumn id="4" name="Có trong nguồn"/>
    <x:tableColumn id="5" name="Nguồn/giá trị"/>
    <x:tableColumn id="6" name="Hành động"/>
    <x:tableColumn id="7" name="Tham chiếu codeb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SourceTable" displayName="RawSourceTable" ref="A4:J21" headerRowCount="1" totalsRowCount="0" totalsRowShown="0">
  <x:tableColumns count="10">
    <x:tableColumn id="1" name="Chương trình"/>
    <x:tableColumn id="2" name="Nhóm lớp / Ca học"/>
    <x:tableColumn id="3" name="Time"/>
    <x:tableColumn id="4" name="Ca"/>
    <x:tableColumn id="5" name="Ngày khai giảng"/>
    <x:tableColumn id="6" name="Thứ"/>
    <x:tableColumn id="7" name="Số HV"/>
    <x:tableColumn id="8" name="Danh sách học viên"/>
    <x:tableColumn id="9" name="Ghi chú"/>
    <x:tableColumn id="10" name="TỐI ƯU DỮ LIỆ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d5fe65f836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71f5b83b9341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3a97741859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ac80f928fb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8102208fde46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12ea393024f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20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</x:cols>
  <x:sheetData>
    <x:row r="1" ht="34" customHeight="1">
      <x:c r="A1" s="3" t="str">
        <x:v>  ĐỐI CHIẾU LỚP HỌC TRUNG TÂM 2026</x:v>
      </x:c>
      <x:c r="B1" s="3" t="str">
        <x:v>  ĐỐI CHIẾU LỚP HỌC TRUNG TÂM 2026</x:v>
      </x:c>
      <x:c r="C1" s="3" t="str">
        <x:v>  ĐỐI CHIẾU LỚP HỌC TRUNG TÂM 2026</x:v>
      </x:c>
      <x:c r="D1" s="3" t="str">
        <x:v>  ĐỐI CHIẾU LỚP HỌC TRUNG TÂM 2026</x:v>
      </x:c>
      <x:c r="E1" s="3" t="str">
        <x:v>  ĐỐI CHIẾU LỚP HỌC TRUNG TÂM 2026</x:v>
      </x:c>
      <x:c r="F1" s="3" t="str">
        <x:v>  ĐỐI CHIẾU LỚP HỌC TRUNG TÂM 2026</x:v>
      </x:c>
      <x:c r="G1" s="3" t="str">
        <x:v>  ĐỐI CHIẾU LỚP HỌC TRUNG TÂM 2026</x:v>
      </x:c>
      <x:c r="H1" s="3" t="str">
        <x:v>  ĐỐI CHIẾU LỚP HỌC TRUNG TÂM 2026</x:v>
      </x:c>
    </x:row>
    <x:row r="2" ht="34" customHeight="1">
      <x:c r="A2" s="7" t="str">
        <x:v>Chuẩn hóa danh sách cũ theo model EduMatrix. PreKids → Tiền tiểu học; Luyện chữ hè → Luyện chữ đẹp.</x:v>
      </x:c>
      <x:c r="B2" s="7" t="str">
        <x:v>Chuẩn hóa danh sách cũ theo model EduMatrix. PreKids → Tiền tiểu học; Luyện chữ hè → Luyện chữ đẹp.</x:v>
      </x:c>
      <x:c r="C2" s="7" t="str">
        <x:v>Chuẩn hóa danh sách cũ theo model EduMatrix. PreKids → Tiền tiểu học; Luyện chữ hè → Luyện chữ đẹp.</x:v>
      </x:c>
      <x:c r="D2" s="7" t="str">
        <x:v>Chuẩn hóa danh sách cũ theo model EduMatrix. PreKids → Tiền tiểu học; Luyện chữ hè → Luyện chữ đẹp.</x:v>
      </x:c>
      <x:c r="E2" s="7" t="str">
        <x:v>Chuẩn hóa danh sách cũ theo model EduMatrix. PreKids → Tiền tiểu học; Luyện chữ hè → Luyện chữ đẹp.</x:v>
      </x:c>
      <x:c r="F2" s="7" t="str">
        <x:v>Chuẩn hóa danh sách cũ theo model EduMatrix. PreKids → Tiền tiểu học; Luyện chữ hè → Luyện chữ đẹp.</x:v>
      </x:c>
      <x:c r="G2" s="7" t="str">
        <x:v>Chuẩn hóa danh sách cũ theo model EduMatrix. PreKids → Tiền tiểu học; Luyện chữ hè → Luyện chữ đẹp.</x:v>
      </x:c>
      <x:c r="H2" s="7" t="str">
        <x:v>Chuẩn hóa danh sách cũ theo model EduMatrix. PreKids → Tiền tiểu học; Luyện chữ hè → Luyện chữ đẹp.</x:v>
      </x:c>
    </x:row>
    <x:row r="4" ht="30" customHeight="1">
      <x:c r="A4" s="16" t="str">
        <x:v>Chỉ số</x:v>
      </x:c>
      <x:c r="B4" s="17" t="str">
        <x:v>Giá trị</x:v>
      </x:c>
      <x:c r="D4" s="16" t="str">
        <x:v>Kết luận đối chiếu hệ thống</x:v>
      </x:c>
      <x:c r="E4" s="38" t="str">
        <x:v>Kết luận đối chiếu hệ thống</x:v>
      </x:c>
      <x:c r="F4" s="38" t="str">
        <x:v>Kết luận đối chiếu hệ thống</x:v>
      </x:c>
      <x:c r="G4" s="38" t="str">
        <x:v>Kết luận đối chiếu hệ thống</x:v>
      </x:c>
      <x:c r="H4" s="17" t="str">
        <x:v>Kết luận đối chiếu hệ thống</x:v>
      </x:c>
    </x:row>
    <x:row r="5" ht="24" customHeight="1">
      <x:c r="A5" s="20" t="str">
        <x:v>Tổng nhóm lớp</x:v>
      </x:c>
      <x:c r="B5" s="32" t="n">
        <x:f>COUNTA('Lớp đề xuất'!$A$5:$A$21)</x:f>
        <x:v>17</x:v>
      </x:c>
      <x:c r="D5" s="58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5" s="59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5" s="59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5" s="59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5" s="60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6" ht="24" customHeight="1">
      <x:c r="A6" s="22" t="str">
        <x:v>Tổng lượt học viên</x:v>
      </x:c>
      <x:c r="B6" s="33" t="n">
        <x:f>SUM('Lớp đề xuất'!$G$5:$G$21)</x:f>
        <x:v>30</x:v>
      </x:c>
      <x:c r="D6" s="61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6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6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6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6" s="63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7" ht="24" customHeight="1">
      <x:c r="A7" s="22" t="str">
        <x:v>Lớp Tiền tiểu học</x:v>
      </x:c>
      <x:c r="B7" s="33" t="n">
        <x:f>COUNTIF('Lớp đề xuất'!$C$5:$C$21,"Tiền tiểu học")</x:f>
        <x:v>11</x:v>
      </x:c>
      <x:c r="D7" s="61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7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7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7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7" s="63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8" ht="24" customHeight="1">
      <x:c r="A8" s="22" t="str">
        <x:v>Lớp Luyện chữ đẹp</x:v>
      </x:c>
      <x:c r="B8" s="33" t="n">
        <x:f>COUNTIF('Lớp đề xuất'!$C$5:$C$21,"Luyện chữ đẹp")</x:f>
        <x:v>6</x:v>
      </x:c>
      <x:c r="D8" s="61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8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8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8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8" s="63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9" ht="24" customHeight="1">
      <x:c r="A9" s="22" t="str">
        <x:v>Lớp có đủ khung giờ</x:v>
      </x:c>
      <x:c r="B9" s="33" t="n">
        <x:f>COUNTIF('Lớp đề xuất'!$K$5:$K$21,"Có giờ học")</x:f>
        <x:v>4</x:v>
      </x:c>
      <x:c r="D9" s="61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9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9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9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9" s="63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10" ht="24" customHeight="1">
      <x:c r="A10" s="24" t="str">
        <x:v>Lớp chưa xếp lịch</x:v>
      </x:c>
      <x:c r="B10" s="34" t="n">
        <x:f>COUNTIF('Lớp đề xuất'!$K$5:$K$21,"Chưa xếp lịch")</x:f>
        <x:v>13</x:v>
      </x:c>
      <x:c r="D10" s="61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10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10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10" s="62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10" s="63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11" ht="24" customHeight="1">
      <x:c r="D11" s="64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E11" s="65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F11" s="65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G11" s="65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  <x:c r="H11" s="66" t="str">
        <x:v>• Có 17 lớp đề xuất và 30 học viên, số lượng từng lớp khớp danh sách nguồn.
• Chưa thể import thẳng: lớp còn thiếu courseId, subjectIds, teacherIds và location.
• 11 lớp Tiền tiểu học chưa có giờ học; Luyện chữ đẹp 3–4 chưa có khung giờ.
• Tạo lịch thông minh chỉ phù hợp khi bổ sung startTime, endTime và sessionCount.
• Học viên còn thiếu studentCode và dateOfBirth; các tên gọi ngắn cần xác minh họ tên.</x:v>
      </x:c>
    </x:row>
    <x:row r="12">
      <x:c r="A12" s="68" t="str">
        <x:v>Thứ tự hoàn thiện đề xuất</x:v>
      </x:c>
      <x:c r="B12" s="68" t="str">
        <x:v>Thứ tự hoàn thiện đề xuất</x:v>
      </x:c>
      <x:c r="C12" s="68" t="str">
        <x:v>Thứ tự hoàn thiện đề xuất</x:v>
      </x:c>
      <x:c r="D12" s="68" t="str">
        <x:v>Thứ tự hoàn thiện đề xuất</x:v>
      </x:c>
      <x:c r="E12" s="68" t="str">
        <x:v>Thứ tự hoàn thiện đề xuất</x:v>
      </x:c>
      <x:c r="F12" s="68" t="str">
        <x:v>Thứ tự hoàn thiện đề xuất</x:v>
      </x:c>
      <x:c r="G12" s="68" t="str">
        <x:v>Thứ tự hoàn thiện đề xuất</x:v>
      </x:c>
      <x:c r="H12" s="68" t="str">
        <x:v>Thứ tự hoàn thiện đề xuất</x:v>
      </x:c>
    </x:row>
    <x:row r="13" ht="38" customHeight="1">
      <x:c r="A13" s="74" t="str">
        <x:v>1</x:v>
      </x:c>
      <x:c r="B13" s="76" t="str">
        <x:v>Tạo 2 khóa học</x:v>
      </x:c>
      <x:c r="C13" s="72" t="str">
        <x:v>Điền môn học, giáo viên, học phí/buổi, tổng số buổi, ngày kết thúc.</x:v>
      </x:c>
      <x:c r="D13" s="72" t="str"/>
      <x:c r="E13" s="72" t="str"/>
      <x:c r="F13" s="72" t="str"/>
      <x:c r="G13" s="72" t="str"/>
      <x:c r="H13" s="72" t="str"/>
    </x:row>
    <x:row r="14" ht="38" customHeight="1">
      <x:c r="A14" s="74" t="str">
        <x:v>2</x:v>
      </x:c>
      <x:c r="B14" s="76" t="str">
        <x:v>Chốt lịch lớp</x:v>
      </x:c>
      <x:c r="C14" s="72" t="str">
        <x:v>Bổ sung giờ học cho PreKids và Luyện chữ đẹp 3–4; xác nhận Luyện chữ đẹp 4 có khai giảng hay chưa.</x:v>
      </x:c>
      <x:c r="D14" s="72" t="str"/>
      <x:c r="E14" s="72" t="str"/>
      <x:c r="F14" s="72" t="str"/>
      <x:c r="G14" s="72" t="str"/>
      <x:c r="H14" s="72" t="str"/>
    </x:row>
    <x:row r="15" ht="38" customHeight="1">
      <x:c r="A15" s="74" t="str">
        <x:v>3</x:v>
      </x:c>
      <x:c r="B15" s="76" t="str">
        <x:v>Chốt thông tin học viên</x:v>
      </x:c>
      <x:c r="C15" s="72" t="str">
        <x:v>Cấp mã học sinh, ngày sinh, họ tên đầy đủ cho Kem/Cherry/Kenry và dữ liệu phụ huynh nếu có.</x:v>
      </x:c>
      <x:c r="D15" s="72" t="str"/>
      <x:c r="E15" s="72" t="str"/>
      <x:c r="F15" s="72" t="str"/>
      <x:c r="G15" s="72" t="str"/>
      <x:c r="H15" s="72" t="str"/>
    </x:row>
    <x:row r="16" ht="38" customHeight="1">
      <x:c r="A16" s="74" t="str">
        <x:v>4</x:v>
      </x:c>
      <x:c r="B16" s="76" t="str">
        <x:v>Tạo lớp trong hệ thống</x:v>
      </x:c>
      <x:c r="C16" s="72" t="str">
        <x:v>Dùng Classes_System sau khi các cột bắt buộc không còn trống.</x:v>
      </x:c>
      <x:c r="D16" s="72" t="str"/>
      <x:c r="E16" s="72" t="str"/>
      <x:c r="F16" s="72" t="str"/>
      <x:c r="G16" s="72" t="str"/>
      <x:c r="H16" s="72" t="str"/>
    </x:row>
    <x:row r="17" ht="38" customHeight="1">
      <x:c r="A17" s="74" t="str">
        <x:v>5</x:v>
      </x:c>
      <x:c r="B17" s="77" t="str">
        <x:v>Ghi danh học viên</x:v>
      </x:c>
      <x:c r="C17" s="72" t="str">
        <x:v>Tạo StudentDoc trước, sau đó ghi danh qua enrollment để đồng bộ studentIds/currentClassIds.</x:v>
      </x:c>
      <x:c r="D17" s="72" t="str"/>
      <x:c r="E17" s="72" t="str"/>
      <x:c r="F17" s="72" t="str"/>
      <x:c r="G17" s="72" t="str"/>
      <x:c r="H17" s="72" t="str"/>
    </x:row>
    <x:row r="18">
      <x:c r="A18" s="78" t="str">
        <x:v>Nguồn</x:v>
      </x:c>
      <x:c r="B18" s="80" t="str">
        <x:v>https://docs.google.com/spreadsheets/d/1SelaoNWI6fyUdqhM10CEssYpIwDjL4K6me1AOeZ8exM/edit?gid=945263735#gid=945263735</x:v>
      </x:c>
      <x:c r="C18" s="80" t="str">
        <x:v>https://docs.google.com/spreadsheets/d/1SelaoNWI6fyUdqhM10CEssYpIwDjL4K6me1AOeZ8exM/edit?gid=945263735#gid=945263735</x:v>
      </x:c>
      <x:c r="D18" s="80" t="str">
        <x:v>https://docs.google.com/spreadsheets/d/1SelaoNWI6fyUdqhM10CEssYpIwDjL4K6me1AOeZ8exM/edit?gid=945263735#gid=945263735</x:v>
      </x:c>
      <x:c r="E18" s="80" t="str">
        <x:v>https://docs.google.com/spreadsheets/d/1SelaoNWI6fyUdqhM10CEssYpIwDjL4K6me1AOeZ8exM/edit?gid=945263735#gid=945263735</x:v>
      </x:c>
      <x:c r="F18" s="80" t="str">
        <x:v>https://docs.google.com/spreadsheets/d/1SelaoNWI6fyUdqhM10CEssYpIwDjL4K6me1AOeZ8exM/edit?gid=945263735#gid=945263735</x:v>
      </x:c>
      <x:c r="G18" s="80" t="str">
        <x:v>https://docs.google.com/spreadsheets/d/1SelaoNWI6fyUdqhM10CEssYpIwDjL4K6me1AOeZ8exM/edit?gid=945263735#gid=945263735</x:v>
      </x:c>
      <x:c r="H18" s="80" t="str">
        <x:v>https://docs.google.com/spreadsheets/d/1SelaoNWI6fyUdqhM10CEssYpIwDjL4K6me1AOeZ8exM/edit?gid=945263735#gid=945263735</x:v>
      </x:c>
    </x:row>
  </x:sheetData>
  <x:mergeCells>
    <x:mergeCell ref="A1:H1"/>
    <x:mergeCell ref="A2:H2"/>
    <x:mergeCell ref="D4:H4"/>
    <x:mergeCell ref="D5:H11"/>
    <x:mergeCell ref="A12:H12"/>
    <x:mergeCell ref="C13:H13"/>
    <x:mergeCell ref="C14:H14"/>
    <x:mergeCell ref="C15:H15"/>
    <x:mergeCell ref="C16:H16"/>
    <x:mergeCell ref="C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15.630000114440918" hidden="0" customWidth="1"/>
    <x:col min="4" max="4" width="16.8799991607666" hidden="0" customWidth="1"/>
    <x:col min="5" max="5" width="22.5" hidden="0" customWidth="1"/>
    <x:col min="6" max="6" width="11.25" hidden="0" customWidth="1"/>
    <x:col min="7" max="7" width="9" hidden="0" customWidth="1"/>
    <x:col min="8" max="8" width="10.25" hidden="0" customWidth="1"/>
    <x:col min="9" max="9" width="9" hidden="0" customWidth="1"/>
    <x:col min="10" max="10" width="41.25" hidden="0" customWidth="1"/>
    <x:col min="11" max="11" width="13.130000114440918" hidden="0" customWidth="1"/>
    <x:col min="12" max="12" width="37.5" hidden="0" customWidth="1"/>
  </x:cols>
  <x:sheetData>
    <x:row r="1" ht="34" customHeight="1">
      <x:c r="A1" s="3" t="str">
        <x:v>  LỚP HỌC ĐÃ CHUẨN HÓA</x:v>
      </x:c>
      <x:c r="B1" s="3" t="str">
        <x:v>  LỚP HỌC ĐÃ CHUẨN HÓA</x:v>
      </x:c>
      <x:c r="C1" s="3" t="str">
        <x:v>  LỚP HỌC ĐÃ CHUẨN HÓA</x:v>
      </x:c>
      <x:c r="D1" s="3" t="str">
        <x:v>  LỚP HỌC ĐÃ CHUẨN HÓA</x:v>
      </x:c>
      <x:c r="E1" s="3" t="str">
        <x:v>  LỚP HỌC ĐÃ CHUẨN HÓA</x:v>
      </x:c>
      <x:c r="F1" s="3" t="str">
        <x:v>  LỚP HỌC ĐÃ CHUẨN HÓA</x:v>
      </x:c>
      <x:c r="G1" s="3" t="str">
        <x:v>  LỚP HỌC ĐÃ CHUẨN HÓA</x:v>
      </x:c>
      <x:c r="H1" s="3" t="str">
        <x:v>  LỚP HỌC ĐÃ CHUẨN HÓA</x:v>
      </x:c>
      <x:c r="I1" s="3" t="str">
        <x:v>  LỚP HỌC ĐÃ CHUẨN HÓA</x:v>
      </x:c>
      <x:c r="J1" s="3" t="str">
        <x:v>  LỚP HỌC ĐÃ CHUẨN HÓA</x:v>
      </x:c>
      <x:c r="K1" s="3" t="str">
        <x:v>  LỚP HỌC ĐÃ CHUẨN HÓA</x:v>
      </x:c>
      <x:c r="L1" s="3" t="str">
        <x:v>  LỚP HỌC ĐÃ CHUẨN HÓA</x:v>
      </x:c>
    </x:row>
    <x:row r="2" ht="34" customHeight="1">
      <x:c r="A2" s="7" t="str">
        <x:v>Danh sách vận hành dễ đọc. Cột Đối chiếu HS dùng COUNTIF từ sheet Học viên để tự kiểm tra số lượng.</x:v>
      </x:c>
      <x:c r="B2" s="7" t="str">
        <x:v>Danh sách vận hành dễ đọc. Cột Đối chiếu HS dùng COUNTIF từ sheet Học viên để tự kiểm tra số lượng.</x:v>
      </x:c>
      <x:c r="C2" s="7" t="str">
        <x:v>Danh sách vận hành dễ đọc. Cột Đối chiếu HS dùng COUNTIF từ sheet Học viên để tự kiểm tra số lượng.</x:v>
      </x:c>
      <x:c r="D2" s="7" t="str">
        <x:v>Danh sách vận hành dễ đọc. Cột Đối chiếu HS dùng COUNTIF từ sheet Học viên để tự kiểm tra số lượng.</x:v>
      </x:c>
      <x:c r="E2" s="7" t="str">
        <x:v>Danh sách vận hành dễ đọc. Cột Đối chiếu HS dùng COUNTIF từ sheet Học viên để tự kiểm tra số lượng.</x:v>
      </x:c>
      <x:c r="F2" s="7" t="str">
        <x:v>Danh sách vận hành dễ đọc. Cột Đối chiếu HS dùng COUNTIF từ sheet Học viên để tự kiểm tra số lượng.</x:v>
      </x:c>
      <x:c r="G2" s="7" t="str">
        <x:v>Danh sách vận hành dễ đọc. Cột Đối chiếu HS dùng COUNTIF từ sheet Học viên để tự kiểm tra số lượng.</x:v>
      </x:c>
      <x:c r="H2" s="7" t="str">
        <x:v>Danh sách vận hành dễ đọc. Cột Đối chiếu HS dùng COUNTIF từ sheet Học viên để tự kiểm tra số lượng.</x:v>
      </x:c>
      <x:c r="I2" s="7" t="str">
        <x:v>Danh sách vận hành dễ đọc. Cột Đối chiếu HS dùng COUNTIF từ sheet Học viên để tự kiểm tra số lượng.</x:v>
      </x:c>
      <x:c r="J2" s="7" t="str">
        <x:v>Danh sách vận hành dễ đọc. Cột Đối chiếu HS dùng COUNTIF từ sheet Học viên để tự kiểm tra số lượng.</x:v>
      </x:c>
      <x:c r="K2" s="7" t="str">
        <x:v>Danh sách vận hành dễ đọc. Cột Đối chiếu HS dùng COUNTIF từ sheet Học viên để tự kiểm tra số lượng.</x:v>
      </x:c>
      <x:c r="L2" s="7" t="str">
        <x:v>Danh sách vận hành dễ đọc. Cột Đối chiếu HS dùng COUNTIF từ sheet Học viên để tự kiểm tra số lượng.</x:v>
      </x:c>
    </x:row>
    <x:row r="4" ht="30" customHeight="1">
      <x:c r="A4" s="16" t="str">
        <x:v>STT</x:v>
      </x:c>
      <x:c r="B4" s="38" t="str">
        <x:v>Tên nguồn</x:v>
      </x:c>
      <x:c r="C4" s="38" t="str">
        <x:v>Chương trình chuẩn</x:v>
      </x:c>
      <x:c r="D4" s="38" t="str">
        <x:v>Tên lớp hệ thống</x:v>
      </x:c>
      <x:c r="E4" s="38" t="str">
        <x:v>Lịch học mô tả</x:v>
      </x:c>
      <x:c r="F4" s="38" t="str">
        <x:v>Ngày khai giảng</x:v>
      </x:c>
      <x:c r="G4" s="38" t="str">
        <x:v>Số HV nguồn</x:v>
      </x:c>
      <x:c r="H4" s="38" t="str">
        <x:v>Số HV đối chiếu</x:v>
      </x:c>
      <x:c r="I4" s="38" t="str">
        <x:v>Kết quả</x:v>
      </x:c>
      <x:c r="J4" s="38" t="str">
        <x:v>Danh sách học viên</x:v>
      </x:c>
      <x:c r="K4" s="38" t="str">
        <x:v>Tình trạng lịch</x:v>
      </x:c>
      <x:c r="L4" s="17" t="str">
        <x:v>Ghi chú nguồn</x:v>
      </x:c>
    </x:row>
    <x:row r="5">
      <x:c r="A5" s="86" t="n">
        <x:v>1</x:v>
      </x:c>
      <x:c r="B5" s="82" t="str">
        <x:v>PreKids 0</x:v>
      </x:c>
      <x:c r="C5" s="88" t="str">
        <x:v>Tiền tiểu học</x:v>
      </x:c>
      <x:c r="D5" s="88" t="str">
        <x:v>Tiền tiểu học 0</x:v>
      </x:c>
      <x:c r="E5" s="82" t="str">
        <x:v>Thứ 3, Thứ 5</x:v>
      </x:c>
      <x:c r="F5" s="84" t="n">
        <x:v>46175</x:v>
      </x:c>
      <x:c r="G5" s="86" t="n">
        <x:v>6</x:v>
      </x:c>
      <x:c r="H5" s="86" t="n">
        <x:f>COUNTIF('Học viên'!$F$5:$F$34,D5)</x:f>
        <x:v>6</x:v>
      </x:c>
      <x:c r="I5" s="86" t="str">
        <x:f>IF(G5=H5,"Khớp","Lệch")</x:f>
        <x:v>Khớp</x:v>
      </x:c>
      <x:c r="J5" s="90" t="str">
        <x:v>Bảo Anh (Nấm), Nguyễn Bảo Hà, Phạm Hà Dương, Hà Anh (ôn hè), Bảo Anh (ôn hè), Huyền Anh (ôn hè)</x:v>
      </x:c>
      <x:c r="K5" s="90" t="str">
        <x:v>Chưa xếp lịch</x:v>
      </x:c>
      <x:c r="L5" s="90" t="str">
        <x:v>Vào sau: Hà Anh (ôn hè): 9/6/2026; Bảo Anh (ôn hè): 9/6/2026; Huyền Anh (ôn hè): 18/6/2026</x:v>
      </x:c>
    </x:row>
    <x:row r="6">
      <x:c r="A6" s="87" t="n">
        <x:v>2</x:v>
      </x:c>
      <x:c r="B6" s="83" t="str">
        <x:v>PreKids 1</x:v>
      </x:c>
      <x:c r="C6" s="89" t="str">
        <x:v>Tiền tiểu học</x:v>
      </x:c>
      <x:c r="D6" s="89" t="str">
        <x:v>Tiền tiểu học 1</x:v>
      </x:c>
      <x:c r="E6" s="83" t="str">
        <x:v>Thứ 2, Thứ 3, Thứ 4, Thứ 5</x:v>
      </x:c>
      <x:c r="F6" s="85" t="n">
        <x:v>46175</x:v>
      </x:c>
      <x:c r="G6" s="87" t="n">
        <x:v>2</x:v>
      </x:c>
      <x:c r="H6" s="87" t="n">
        <x:f>COUNTIF('Học viên'!$F$5:$F$34,D6)</x:f>
        <x:v>2</x:v>
      </x:c>
      <x:c r="I6" s="87" t="str">
        <x:f>IF(G6=H6,"Khớp","Lệch")</x:f>
        <x:v>Khớp</x:v>
      </x:c>
      <x:c r="J6" s="91" t="str">
        <x:v>Minh Khôi, Đức Anh (Shin)</x:v>
      </x:c>
      <x:c r="K6" s="91" t="str">
        <x:v>Chưa xếp lịch</x:v>
      </x:c>
      <x:c r="L6" s="91" t="str">
        <x:v>Vào sau: Đức Anh (Shin): 4/6/2026</x:v>
      </x:c>
    </x:row>
    <x:row r="7">
      <x:c r="A7" s="87" t="n">
        <x:v>3</x:v>
      </x:c>
      <x:c r="B7" s="83" t="str">
        <x:v>PreKids 2</x:v>
      </x:c>
      <x:c r="C7" s="89" t="str">
        <x:v>Tiền tiểu học</x:v>
      </x:c>
      <x:c r="D7" s="89" t="str">
        <x:v>Tiền tiểu học 2</x:v>
      </x:c>
      <x:c r="E7" s="83" t="str">
        <x:v>Thứ 2, Thứ 4</x:v>
      </x:c>
      <x:c r="F7" s="85" t="n">
        <x:v>46174</x:v>
      </x:c>
      <x:c r="G7" s="87" t="n">
        <x:v>2</x:v>
      </x:c>
      <x:c r="H7" s="87" t="n">
        <x:f>COUNTIF('Học viên'!$F$5:$F$34,D7)</x:f>
        <x:v>2</x:v>
      </x:c>
      <x:c r="I7" s="87" t="str">
        <x:f>IF(G7=H7,"Khớp","Lệch")</x:f>
        <x:v>Khớp</x:v>
      </x:c>
      <x:c r="J7" s="91" t="str">
        <x:v>Quân Boong, Minh Quang (Gấu)</x:v>
      </x:c>
      <x:c r="K7" s="91" t="str">
        <x:v>Chưa xếp lịch</x:v>
      </x:c>
      <x:c r="L7" s="91" t="str">
        <x:v>Vào sau: Minh Quang (Gấu): 8/6/2026</x:v>
      </x:c>
    </x:row>
    <x:row r="8">
      <x:c r="A8" s="87" t="n">
        <x:v>4</x:v>
      </x:c>
      <x:c r="B8" s="83" t="str">
        <x:v>PreKids 3</x:v>
      </x:c>
      <x:c r="C8" s="89" t="str">
        <x:v>Tiền tiểu học</x:v>
      </x:c>
      <x:c r="D8" s="89" t="str">
        <x:v>Tiền tiểu học 3</x:v>
      </x:c>
      <x:c r="E8" s="83" t="str">
        <x:v>Thứ 2, Thứ 5</x:v>
      </x:c>
      <x:c r="F8" s="85" t="n">
        <x:v>46174</x:v>
      </x:c>
      <x:c r="G8" s="87" t="n">
        <x:v>1</x:v>
      </x:c>
      <x:c r="H8" s="87" t="n">
        <x:f>COUNTIF('Học viên'!$F$5:$F$34,D8)</x:f>
        <x:v>1</x:v>
      </x:c>
      <x:c r="I8" s="87" t="str">
        <x:f>IF(G8=H8,"Khớp","Lệch")</x:f>
        <x:v>Khớp</x:v>
      </x:c>
      <x:c r="J8" s="91" t="str">
        <x:v>Nguyễn Minh Anh</x:v>
      </x:c>
      <x:c r="K8" s="91" t="str">
        <x:v>Chưa xếp lịch</x:v>
      </x:c>
      <x:c r="L8" s="91" t="str">
        <x:v>Cả nhóm bắt đầu cùng ngày</x:v>
      </x:c>
    </x:row>
    <x:row r="9">
      <x:c r="A9" s="87" t="n">
        <x:v>5</x:v>
      </x:c>
      <x:c r="B9" s="83" t="str">
        <x:v>PreKids 4</x:v>
      </x:c>
      <x:c r="C9" s="89" t="str">
        <x:v>Tiền tiểu học</x:v>
      </x:c>
      <x:c r="D9" s="89" t="str">
        <x:v>Tiền tiểu học 4</x:v>
      </x:c>
      <x:c r="E9" s="83" t="str">
        <x:v>Thứ 2, Thứ 6</x:v>
      </x:c>
      <x:c r="F9" s="85" t="n">
        <x:v>46192</x:v>
      </x:c>
      <x:c r="G9" s="87" t="n">
        <x:v>1</x:v>
      </x:c>
      <x:c r="H9" s="87" t="n">
        <x:f>COUNTIF('Học viên'!$F$5:$F$34,D9)</x:f>
        <x:v>1</x:v>
      </x:c>
      <x:c r="I9" s="87" t="str">
        <x:f>IF(G9=H9,"Khớp","Lệch")</x:f>
        <x:v>Khớp</x:v>
      </x:c>
      <x:c r="J9" s="91" t="str">
        <x:v>Minh Khang (ôn hè)</x:v>
      </x:c>
      <x:c r="K9" s="91" t="str">
        <x:v>Chưa xếp lịch</x:v>
      </x:c>
      <x:c r="L9" s="91" t="str">
        <x:v>Cả nhóm bắt đầu cùng ngày</x:v>
      </x:c>
    </x:row>
    <x:row r="10">
      <x:c r="A10" s="87" t="n">
        <x:v>6</x:v>
      </x:c>
      <x:c r="B10" s="83" t="str">
        <x:v>PreKids 5</x:v>
      </x:c>
      <x:c r="C10" s="89" t="str">
        <x:v>Tiền tiểu học</x:v>
      </x:c>
      <x:c r="D10" s="89" t="str">
        <x:v>Tiền tiểu học 5</x:v>
      </x:c>
      <x:c r="E10" s="83" t="str">
        <x:v>Thứ 3, Thứ 4, Thứ 7</x:v>
      </x:c>
      <x:c r="F10" s="85" t="n">
        <x:v>46176</x:v>
      </x:c>
      <x:c r="G10" s="87" t="n">
        <x:v>1</x:v>
      </x:c>
      <x:c r="H10" s="87" t="n">
        <x:f>COUNTIF('Học viên'!$F$5:$F$34,D10)</x:f>
        <x:v>1</x:v>
      </x:c>
      <x:c r="I10" s="87" t="str">
        <x:f>IF(G10=H10,"Khớp","Lệch")</x:f>
        <x:v>Khớp</x:v>
      </x:c>
      <x:c r="J10" s="91" t="str">
        <x:v>Phương My (Sữa)</x:v>
      </x:c>
      <x:c r="K10" s="91" t="str">
        <x:v>Chưa xếp lịch</x:v>
      </x:c>
      <x:c r="L10" s="91" t="str">
        <x:v>Cả nhóm bắt đầu cùng ngày</x:v>
      </x:c>
    </x:row>
    <x:row r="11">
      <x:c r="A11" s="87" t="n">
        <x:v>7</x:v>
      </x:c>
      <x:c r="B11" s="83" t="str">
        <x:v>PreKids 6</x:v>
      </x:c>
      <x:c r="C11" s="89" t="str">
        <x:v>Tiền tiểu học</x:v>
      </x:c>
      <x:c r="D11" s="89" t="str">
        <x:v>Tiền tiểu học 6</x:v>
      </x:c>
      <x:c r="E11" s="83" t="str">
        <x:v>Thứ 3, Thứ 5, Thứ 7</x:v>
      </x:c>
      <x:c r="F11" s="85" t="n">
        <x:v>46175</x:v>
      </x:c>
      <x:c r="G11" s="87" t="n">
        <x:v>1</x:v>
      </x:c>
      <x:c r="H11" s="87" t="n">
        <x:f>COUNTIF('Học viên'!$F$5:$F$34,D11)</x:f>
        <x:v>1</x:v>
      </x:c>
      <x:c r="I11" s="87" t="str">
        <x:f>IF(G11=H11,"Khớp","Lệch")</x:f>
        <x:v>Khớp</x:v>
      </x:c>
      <x:c r="J11" s="91" t="str">
        <x:v>Kem</x:v>
      </x:c>
      <x:c r="K11" s="91" t="str">
        <x:v>Chưa xếp lịch</x:v>
      </x:c>
      <x:c r="L11" s="91" t="str">
        <x:v>Cả nhóm bắt đầu cùng ngày</x:v>
      </x:c>
    </x:row>
    <x:row r="12">
      <x:c r="A12" s="87" t="n">
        <x:v>8</x:v>
      </x:c>
      <x:c r="B12" s="83" t="str">
        <x:v>PreKids 7</x:v>
      </x:c>
      <x:c r="C12" s="89" t="str">
        <x:v>Tiền tiểu học</x:v>
      </x:c>
      <x:c r="D12" s="89" t="str">
        <x:v>Tiền tiểu học 7</x:v>
      </x:c>
      <x:c r="E12" s="83" t="str">
        <x:v>Thứ 4</x:v>
      </x:c>
      <x:c r="F12" s="85" t="n">
        <x:v>46176</x:v>
      </x:c>
      <x:c r="G12" s="87" t="n">
        <x:v>1</x:v>
      </x:c>
      <x:c r="H12" s="87" t="n">
        <x:f>COUNTIF('Học viên'!$F$5:$F$34,D12)</x:f>
        <x:v>1</x:v>
      </x:c>
      <x:c r="I12" s="87" t="str">
        <x:f>IF(G12=H12,"Khớp","Lệch")</x:f>
        <x:v>Khớp</x:v>
      </x:c>
      <x:c r="J12" s="91" t="str">
        <x:v>Quang Vinh</x:v>
      </x:c>
      <x:c r="K12" s="91" t="str">
        <x:v>Chưa xếp lịch</x:v>
      </x:c>
      <x:c r="L12" s="91" t="str">
        <x:v>Cả nhóm bắt đầu cùng ngày</x:v>
      </x:c>
    </x:row>
    <x:row r="13">
      <x:c r="A13" s="87" t="n">
        <x:v>9</x:v>
      </x:c>
      <x:c r="B13" s="83" t="str">
        <x:v>PreKids 8</x:v>
      </x:c>
      <x:c r="C13" s="89" t="str">
        <x:v>Tiền tiểu học</x:v>
      </x:c>
      <x:c r="D13" s="89" t="str">
        <x:v>Tiền tiểu học 8</x:v>
      </x:c>
      <x:c r="E13" s="83" t="str">
        <x:v>Thứ 4, Thứ 6, Thứ 7</x:v>
      </x:c>
      <x:c r="F13" s="85" t="n">
        <x:v>46176</x:v>
      </x:c>
      <x:c r="G13" s="87" t="n">
        <x:v>1</x:v>
      </x:c>
      <x:c r="H13" s="87" t="n">
        <x:f>COUNTIF('Học viên'!$F$5:$F$34,D13)</x:f>
        <x:v>1</x:v>
      </x:c>
      <x:c r="I13" s="87" t="str">
        <x:f>IF(G13=H13,"Khớp","Lệch")</x:f>
        <x:v>Khớp</x:v>
      </x:c>
      <x:c r="J13" s="91" t="str">
        <x:v>Nguyên Đậu</x:v>
      </x:c>
      <x:c r="K13" s="91" t="str">
        <x:v>Chưa xếp lịch</x:v>
      </x:c>
      <x:c r="L13" s="91" t="str">
        <x:v>Cả nhóm bắt đầu cùng ngày</x:v>
      </x:c>
    </x:row>
    <x:row r="14">
      <x:c r="A14" s="87" t="n">
        <x:v>10</x:v>
      </x:c>
      <x:c r="B14" s="83" t="str">
        <x:v>PreKids 9</x:v>
      </x:c>
      <x:c r="C14" s="89" t="str">
        <x:v>Tiền tiểu học</x:v>
      </x:c>
      <x:c r="D14" s="89" t="str">
        <x:v>Tiền tiểu học 9</x:v>
      </x:c>
      <x:c r="E14" s="83" t="str">
        <x:v>Thứ 6, Thứ 7</x:v>
      </x:c>
      <x:c r="F14" s="85" t="n">
        <x:v>46178</x:v>
      </x:c>
      <x:c r="G14" s="87" t="n">
        <x:v>1</x:v>
      </x:c>
      <x:c r="H14" s="87" t="n">
        <x:f>COUNTIF('Học viên'!$F$5:$F$34,D14)</x:f>
        <x:v>1</x:v>
      </x:c>
      <x:c r="I14" s="87" t="str">
        <x:f>IF(G14=H14,"Khớp","Lệch")</x:f>
        <x:v>Khớp</x:v>
      </x:c>
      <x:c r="J14" s="91" t="str">
        <x:v>Nguyễn Minh Ngọc</x:v>
      </x:c>
      <x:c r="K14" s="91" t="str">
        <x:v>Chưa xếp lịch</x:v>
      </x:c>
      <x:c r="L14" s="91" t="str">
        <x:v>Cả nhóm bắt đầu cùng ngày</x:v>
      </x:c>
    </x:row>
    <x:row r="15">
      <x:c r="A15" s="87" t="n">
        <x:v>11</x:v>
      </x:c>
      <x:c r="B15" s="83" t="str">
        <x:v>PreKids 10</x:v>
      </x:c>
      <x:c r="C15" s="89" t="str">
        <x:v>Tiền tiểu học</x:v>
      </x:c>
      <x:c r="D15" s="89" t="str">
        <x:v>Tiền tiểu học 10</x:v>
      </x:c>
      <x:c r="E15" s="83" t="str">
        <x:v>Thứ 7</x:v>
      </x:c>
      <x:c r="F15" s="85" t="n">
        <x:v>46228</x:v>
      </x:c>
      <x:c r="G15" s="87" t="n">
        <x:v>1</x:v>
      </x:c>
      <x:c r="H15" s="87" t="n">
        <x:f>COUNTIF('Học viên'!$F$5:$F$34,D15)</x:f>
        <x:v>1</x:v>
      </x:c>
      <x:c r="I15" s="87" t="str">
        <x:f>IF(G15=H15,"Khớp","Lệch")</x:f>
        <x:v>Khớp</x:v>
      </x:c>
      <x:c r="J15" s="91" t="str">
        <x:v>Cherry</x:v>
      </x:c>
      <x:c r="K15" s="91" t="str">
        <x:v>Chưa xếp lịch</x:v>
      </x:c>
      <x:c r="L15" s="91" t="str">
        <x:v>Cả nhóm bắt đầu cùng ngày</x:v>
      </x:c>
    </x:row>
    <x:row r="16">
      <x:c r="A16" s="87" t="n">
        <x:v>12</x:v>
      </x:c>
      <x:c r="B16" s="83" t="str">
        <x:v>Luyện chữ hè 1</x:v>
      </x:c>
      <x:c r="C16" s="89" t="str">
        <x:v>Luyện chữ đẹp</x:v>
      </x:c>
      <x:c r="D16" s="89" t="str">
        <x:v>Luyện chữ đẹp 1</x:v>
      </x:c>
      <x:c r="E16" s="83" t="str">
        <x:v>Thứ 2, Thứ 4 · 08:30-10:00</x:v>
      </x:c>
      <x:c r="F16" s="85" t="n">
        <x:v>46174</x:v>
      </x:c>
      <x:c r="G16" s="87" t="n">
        <x:v>4</x:v>
      </x:c>
      <x:c r="H16" s="87" t="n">
        <x:f>COUNTIF('Học viên'!$F$5:$F$34,D16)</x:f>
        <x:v>4</x:v>
      </x:c>
      <x:c r="I16" s="87" t="str">
        <x:f>IF(G16=H16,"Khớp","Lệch")</x:f>
        <x:v>Khớp</x:v>
      </x:c>
      <x:c r="J16" s="91" t="str">
        <x:v>Trần Quốc Bảo, Trịnh Ngọc Gia Hân, Nguyễn Nam Khang, Trần Đức Khôi</x:v>
      </x:c>
      <x:c r="K16" s="91" t="str">
        <x:v>Có giờ học</x:v>
      </x:c>
      <x:c r="L16" s="91" t="str">
        <x:v>Vào sau: Trịnh Ngọc Gia Hân: 1/7/2026</x:v>
      </x:c>
    </x:row>
    <x:row r="17">
      <x:c r="A17" s="87" t="n">
        <x:v>13</x:v>
      </x:c>
      <x:c r="B17" s="83" t="str">
        <x:v>Luyện chữ hè 2</x:v>
      </x:c>
      <x:c r="C17" s="89" t="str">
        <x:v>Luyện chữ đẹp</x:v>
      </x:c>
      <x:c r="D17" s="89" t="str">
        <x:v>Luyện chữ đẹp 2</x:v>
      </x:c>
      <x:c r="E17" s="83" t="str">
        <x:v>Thứ 3, Thứ 5 · 08:30-10:00</x:v>
      </x:c>
      <x:c r="F17" s="85" t="n">
        <x:v>46175</x:v>
      </x:c>
      <x:c r="G17" s="87" t="n">
        <x:v>3</x:v>
      </x:c>
      <x:c r="H17" s="87" t="n">
        <x:f>COUNTIF('Học viên'!$F$5:$F$34,D17)</x:f>
        <x:v>3</x:v>
      </x:c>
      <x:c r="I17" s="87" t="str">
        <x:f>IF(G17=H17,"Khớp","Lệch")</x:f>
        <x:v>Khớp</x:v>
      </x:c>
      <x:c r="J17" s="91" t="str">
        <x:v>Vũ Nhật Minh, Vũ Tú Anh, Phùng Minh Quang</x:v>
      </x:c>
      <x:c r="K17" s="91" t="str">
        <x:v>Có giờ học</x:v>
      </x:c>
      <x:c r="L17" s="91" t="str">
        <x:v>Cả nhóm bắt đầu cùng ngày</x:v>
      </x:c>
    </x:row>
    <x:row r="18">
      <x:c r="A18" s="87" t="n">
        <x:v>14</x:v>
      </x:c>
      <x:c r="B18" s="83" t="str">
        <x:v>Luyện chữ hè 3</x:v>
      </x:c>
      <x:c r="C18" s="89" t="str">
        <x:v>Luyện chữ đẹp</x:v>
      </x:c>
      <x:c r="D18" s="89" t="str">
        <x:v>Luyện chữ đẹp 3</x:v>
      </x:c>
      <x:c r="E18" s="83" t="str">
        <x:v>(chưa xếp lịch)</x:v>
      </x:c>
      <x:c r="F18" s="85" t="n">
        <x:v>46230</x:v>
      </x:c>
      <x:c r="G18" s="87" t="n">
        <x:v>2</x:v>
      </x:c>
      <x:c r="H18" s="87" t="n">
        <x:f>COUNTIF('Học viên'!$F$5:$F$34,D18)</x:f>
        <x:v>2</x:v>
      </x:c>
      <x:c r="I18" s="87" t="str">
        <x:f>IF(G18=H18,"Khớp","Lệch")</x:f>
        <x:v>Khớp</x:v>
      </x:c>
      <x:c r="J18" s="91" t="str">
        <x:v>Duy Đăng, Nguyễn Quỳnh Trang</x:v>
      </x:c>
      <x:c r="K18" s="91" t="str">
        <x:v>Chưa xếp lịch</x:v>
      </x:c>
      <x:c r="L18" s="91" t="str">
        <x:v>Chưa xếp ca; Duy Đăng chưa học</x:v>
      </x:c>
    </x:row>
    <x:row r="19">
      <x:c r="A19" s="87" t="n">
        <x:v>15</x:v>
      </x:c>
      <x:c r="B19" s="83" t="str">
        <x:v>Luyện chữ hè 4</x:v>
      </x:c>
      <x:c r="C19" s="89" t="str">
        <x:v>Luyện chữ đẹp</x:v>
      </x:c>
      <x:c r="D19" s="89" t="str">
        <x:v>Luyện chữ đẹp 4</x:v>
      </x:c>
      <x:c r="E19" s="83" t="str">
        <x:v>(chưa xếp lịch)</x:v>
      </x:c>
      <x:c r="F19" s="85"/>
      <x:c r="G19" s="87" t="n">
        <x:v>1</x:v>
      </x:c>
      <x:c r="H19" s="87" t="n">
        <x:f>COUNTIF('Học viên'!$F$5:$F$34,D19)</x:f>
        <x:v>1</x:v>
      </x:c>
      <x:c r="I19" s="87" t="str">
        <x:f>IF(G19=H19,"Khớp","Lệch")</x:f>
        <x:v>Khớp</x:v>
      </x:c>
      <x:c r="J19" s="91" t="str">
        <x:v>Kenry</x:v>
      </x:c>
      <x:c r="K19" s="91" t="str">
        <x:v>Chưa xếp lịch</x:v>
      </x:c>
      <x:c r="L19" s="91" t="str">
        <x:v>Lớp chờ tháng 7</x:v>
      </x:c>
    </x:row>
    <x:row r="20">
      <x:c r="A20" s="87" t="n">
        <x:v>16</x:v>
      </x:c>
      <x:c r="B20" s="83" t="str">
        <x:v>Luyện chữ hè 5</x:v>
      </x:c>
      <x:c r="C20" s="89" t="str">
        <x:v>Luyện chữ đẹp</x:v>
      </x:c>
      <x:c r="D20" s="89" t="str">
        <x:v>Luyện chữ đẹp 5</x:v>
      </x:c>
      <x:c r="E20" s="83" t="str">
        <x:v>Thứ 2, Thứ 4 · 19:45-21:00</x:v>
      </x:c>
      <x:c r="F20" s="85" t="n">
        <x:v>46176</x:v>
      </x:c>
      <x:c r="G20" s="87" t="n">
        <x:v>1</x:v>
      </x:c>
      <x:c r="H20" s="87" t="n">
        <x:f>COUNTIF('Học viên'!$F$5:$F$34,D20)</x:f>
        <x:v>1</x:v>
      </x:c>
      <x:c r="I20" s="87" t="str">
        <x:f>IF(G20=H20,"Khớp","Lệch")</x:f>
        <x:v>Khớp</x:v>
      </x:c>
      <x:c r="J20" s="91" t="str">
        <x:v>Ngọc Châu</x:v>
      </x:c>
      <x:c r="K20" s="91" t="str">
        <x:v>Có giờ học</x:v>
      </x:c>
      <x:c r="L20" s="91" t="str">
        <x:v>Cả nhóm bắt đầu cùng ngày</x:v>
      </x:c>
    </x:row>
    <x:row r="21">
      <x:c r="A21" s="87" t="n">
        <x:v>17</x:v>
      </x:c>
      <x:c r="B21" s="83" t="str">
        <x:v>Luyện chữ hè 6</x:v>
      </x:c>
      <x:c r="C21" s="89" t="str">
        <x:v>Luyện chữ đẹp</x:v>
      </x:c>
      <x:c r="D21" s="89" t="str">
        <x:v>Luyện chữ đẹp 6</x:v>
      </x:c>
      <x:c r="E21" s="83" t="str">
        <x:v>Thứ 4, Thứ 6 · 19:45-21:00</x:v>
      </x:c>
      <x:c r="F21" s="85" t="n">
        <x:v>46176</x:v>
      </x:c>
      <x:c r="G21" s="87" t="n">
        <x:v>1</x:v>
      </x:c>
      <x:c r="H21" s="87" t="n">
        <x:f>COUNTIF('Học viên'!$F$5:$F$34,D21)</x:f>
        <x:v>1</x:v>
      </x:c>
      <x:c r="I21" s="87" t="str">
        <x:f>IF(G21=H21,"Khớp","Lệch")</x:f>
        <x:v>Khớp</x:v>
      </x:c>
      <x:c r="J21" s="91" t="str">
        <x:v>Vũ Quang Hùng</x:v>
      </x:c>
      <x:c r="K21" s="91" t="str">
        <x:v>Có giờ học</x:v>
      </x:c>
      <x:c r="L21" s="91" t="str">
        <x:v>Cả nhóm bắt đầu cùng ngày</x:v>
      </x:c>
    </x:row>
  </x:sheetData>
  <x:mergeCells>
    <x:mergeCell ref="A1:L1"/>
    <x:mergeCell ref="A2:L2"/>
  </x:mergeCells>
  <x:conditionalFormatting sqref="I5:I21">
    <x:cfRule type="containsText" dxfId="0" priority="1" operator="containsText" text="Khớp"/>
    <x:cfRule type="containsText" dxfId="1" priority="2" operator="containsText" text="Lệch"/>
  </x:conditionalFormatting>
  <x:conditionalFormatting sqref="K5:K21">
    <x:cfRule type="containsText" dxfId="2" priority="3" operator="containsText" text="Chưa xếp lịch"/>
  </x:conditionalFormatting>
  <x:pageMargins left="0.7" right="0.7" top="0.75" bottom="0.75" header="0.3" footer="0.3"/>
  <x:tableParts count="1">
    <x:tablePart xmlns:r="http://schemas.openxmlformats.org/officeDocument/2006/relationships" r:id="R76d5fe65f83642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8.75" hidden="0" customWidth="1"/>
    <x:col min="3" max="3" width="13.75" hidden="0" customWidth="1"/>
    <x:col min="4" max="4" width="13.75" hidden="0" customWidth="1"/>
    <x:col min="5" max="5" width="13.75" hidden="0" customWidth="1"/>
    <x:col min="6" max="6" width="38.75" hidden="0" customWidth="1"/>
    <x:col min="7" max="7" width="22.5" hidden="0" customWidth="1"/>
    <x:col min="8" max="8" width="13.75" hidden="0" customWidth="1"/>
    <x:col min="9" max="9" width="10.630000114440918" hidden="0" customWidth="1"/>
    <x:col min="10" max="10" width="12.5" hidden="0" customWidth="1"/>
    <x:col min="11" max="11" width="14.380000114440918" hidden="0" customWidth="1"/>
    <x:col min="12" max="12" width="10" hidden="0" customWidth="1"/>
    <x:col min="13" max="13" width="10" hidden="0" customWidth="1"/>
    <x:col min="14" max="14" width="11.880000114440918" hidden="0" customWidth="1"/>
    <x:col min="15" max="15" width="20" hidden="0" customWidth="1"/>
    <x:col min="16" max="16" width="32.5" hidden="0" customWidth="1"/>
    <x:col min="17" max="17" width="16.8799991607666" hidden="0" customWidth="1"/>
    <x:col min="18" max="18" width="19.3799991607666" hidden="0" customWidth="1"/>
    <x:col min="19" max="19" width="15" hidden="0" customWidth="1"/>
  </x:cols>
  <x:sheetData>
    <x:row r="1" ht="34" customHeight="1">
      <x:c r="A1" s="3" t="str">
        <x:v>  CLASSES_SYSTEM — VÙNG CHUẨN BỊ NHẬP</x:v>
      </x:c>
      <x:c r="B1" s="3" t="str">
        <x:v>  CLASSES_SYSTEM — VÙNG CHUẨN BỊ NHẬP</x:v>
      </x:c>
      <x:c r="C1" s="3" t="str">
        <x:v>  CLASSES_SYSTEM — VÙNG CHUẨN BỊ NHẬP</x:v>
      </x:c>
      <x:c r="D1" s="3" t="str">
        <x:v>  CLASSES_SYSTEM — VÙNG CHUẨN BỊ NHẬP</x:v>
      </x:c>
      <x:c r="E1" s="3" t="str">
        <x:v>  CLASSES_SYSTEM — VÙNG CHUẨN BỊ NHẬP</x:v>
      </x:c>
      <x:c r="F1" s="3" t="str">
        <x:v>  CLASSES_SYSTEM — VÙNG CHUẨN BỊ NHẬP</x:v>
      </x:c>
      <x:c r="G1" s="3" t="str">
        <x:v>  CLASSES_SYSTEM — VÙNG CHUẨN BỊ NHẬP</x:v>
      </x:c>
      <x:c r="H1" s="3" t="str">
        <x:v>  CLASSES_SYSTEM — VÙNG CHUẨN BỊ NHẬP</x:v>
      </x:c>
      <x:c r="I1" s="3" t="str">
        <x:v>  CLASSES_SYSTEM — VÙNG CHUẨN BỊ NHẬP</x:v>
      </x:c>
      <x:c r="J1" s="3" t="str">
        <x:v>  CLASSES_SYSTEM — VÙNG CHUẨN BỊ NHẬP</x:v>
      </x:c>
      <x:c r="K1" s="3" t="str">
        <x:v>  CLASSES_SYSTEM — VÙNG CHUẨN BỊ NHẬP</x:v>
      </x:c>
      <x:c r="L1" s="3" t="str">
        <x:v>  CLASSES_SYSTEM — VÙNG CHUẨN BỊ NHẬP</x:v>
      </x:c>
      <x:c r="M1" s="3" t="str">
        <x:v>  CLASSES_SYSTEM — VÙNG CHUẨN BỊ NHẬP</x:v>
      </x:c>
      <x:c r="N1" s="3" t="str">
        <x:v>  CLASSES_SYSTEM — VÙNG CHUẨN BỊ NHẬP</x:v>
      </x:c>
      <x:c r="O1" s="3" t="str">
        <x:v>  CLASSES_SYSTEM — VÙNG CHUẨN BỊ NHẬP</x:v>
      </x:c>
      <x:c r="P1" s="3" t="str">
        <x:v>  CLASSES_SYSTEM — VÙNG CHUẨN BỊ NHẬP</x:v>
      </x:c>
      <x:c r="Q1" s="3" t="str">
        <x:v>  CLASSES_SYSTEM — VÙNG CHUẨN BỊ NHẬP</x:v>
      </x:c>
      <x:c r="R1" s="3" t="str">
        <x:v>  CLASSES_SYSTEM — VÙNG CHUẨN BỊ NHẬP</x:v>
      </x:c>
      <x:c r="S1" s="3" t="str">
        <x:v>  CLASSES_SYSTEM — VÙNG CHUẨN BỊ NHẬP</x:v>
      </x:c>
    </x:row>
    <x:row r="2" ht="34" customHeight="1">
      <x:c r="A2" s="7" t="str">
        <x:v>Khớp ClassDoc và createClassWithSchedule. Không phát sinh ID giả; điền các cột vàng trước khi nhập hệ thống.</x:v>
      </x:c>
      <x:c r="B2" s="7" t="str">
        <x:v>Khớp ClassDoc và createClassWithSchedule. Không phát sinh ID giả; điền các cột vàng trước khi nhập hệ thống.</x:v>
      </x:c>
      <x:c r="C2" s="7" t="str">
        <x:v>Khớp ClassDoc và createClassWithSchedule. Không phát sinh ID giả; điền các cột vàng trước khi nhập hệ thống.</x:v>
      </x:c>
      <x:c r="D2" s="7" t="str">
        <x:v>Khớp ClassDoc và createClassWithSchedule. Không phát sinh ID giả; điền các cột vàng trước khi nhập hệ thống.</x:v>
      </x:c>
      <x:c r="E2" s="7" t="str">
        <x:v>Khớp ClassDoc và createClassWithSchedule. Không phát sinh ID giả; điền các cột vàng trước khi nhập hệ thống.</x:v>
      </x:c>
      <x:c r="F2" s="7" t="str">
        <x:v>Khớp ClassDoc và createClassWithSchedule. Không phát sinh ID giả; điền các cột vàng trước khi nhập hệ thống.</x:v>
      </x:c>
      <x:c r="G2" s="7" t="str">
        <x:v>Khớp ClassDoc và createClassWithSchedule. Không phát sinh ID giả; điền các cột vàng trước khi nhập hệ thống.</x:v>
      </x:c>
      <x:c r="H2" s="7" t="str">
        <x:v>Khớp ClassDoc và createClassWithSchedule. Không phát sinh ID giả; điền các cột vàng trước khi nhập hệ thống.</x:v>
      </x:c>
      <x:c r="I2" s="7" t="str">
        <x:v>Khớp ClassDoc và createClassWithSchedule. Không phát sinh ID giả; điền các cột vàng trước khi nhập hệ thống.</x:v>
      </x:c>
      <x:c r="J2" s="7" t="str">
        <x:v>Khớp ClassDoc và createClassWithSchedule. Không phát sinh ID giả; điền các cột vàng trước khi nhập hệ thống.</x:v>
      </x:c>
      <x:c r="K2" s="7" t="str">
        <x:v>Khớp ClassDoc và createClassWithSchedule. Không phát sinh ID giả; điền các cột vàng trước khi nhập hệ thống.</x:v>
      </x:c>
      <x:c r="L2" s="7" t="str">
        <x:v>Khớp ClassDoc và createClassWithSchedule. Không phát sinh ID giả; điền các cột vàng trước khi nhập hệ thống.</x:v>
      </x:c>
      <x:c r="M2" s="7" t="str">
        <x:v>Khớp ClassDoc và createClassWithSchedule. Không phát sinh ID giả; điền các cột vàng trước khi nhập hệ thống.</x:v>
      </x:c>
      <x:c r="N2" s="7" t="str">
        <x:v>Khớp ClassDoc và createClassWithSchedule. Không phát sinh ID giả; điền các cột vàng trước khi nhập hệ thống.</x:v>
      </x:c>
      <x:c r="O2" s="7" t="str">
        <x:v>Khớp ClassDoc và createClassWithSchedule. Không phát sinh ID giả; điền các cột vàng trước khi nhập hệ thống.</x:v>
      </x:c>
      <x:c r="P2" s="7" t="str">
        <x:v>Khớp ClassDoc và createClassWithSchedule. Không phát sinh ID giả; điền các cột vàng trước khi nhập hệ thống.</x:v>
      </x:c>
      <x:c r="Q2" s="7" t="str">
        <x:v>Khớp ClassDoc và createClassWithSchedule. Không phát sinh ID giả; điền các cột vàng trước khi nhập hệ thống.</x:v>
      </x:c>
      <x:c r="R2" s="7" t="str">
        <x:v>Khớp ClassDoc và createClassWithSchedule. Không phát sinh ID giả; điền các cột vàng trước khi nhập hệ thống.</x:v>
      </x:c>
      <x:c r="S2" s="7" t="str">
        <x:v>Khớp ClassDoc và createClassWithSchedule. Không phát sinh ID giả; điền các cột vàng trước khi nhập hệ thống.</x:v>
      </x:c>
    </x:row>
    <x:row r="4" ht="30" customHeight="1">
      <x:c r="A4" s="16" t="str">
        <x:v>name*</x:v>
      </x:c>
      <x:c r="B4" s="38" t="str">
        <x:v>courseName tham chiếu</x:v>
      </x:c>
      <x:c r="C4" s="38" t="str">
        <x:v>courseId*</x:v>
      </x:c>
      <x:c r="D4" s="38" t="str">
        <x:v>subjectIds*</x:v>
      </x:c>
      <x:c r="E4" s="38" t="str">
        <x:v>teacherIds*</x:v>
      </x:c>
      <x:c r="F4" s="38" t="str">
        <x:v>studentIds</x:v>
      </x:c>
      <x:c r="G4" s="38" t="str">
        <x:v>scheduleText</x:v>
      </x:c>
      <x:c r="H4" s="38" t="str">
        <x:v>location</x:v>
      </x:c>
      <x:c r="I4" s="38" t="str">
        <x:v>status*</x:v>
      </x:c>
      <x:c r="J4" s="38" t="str">
        <x:v>startDate</x:v>
      </x:c>
      <x:c r="K4" s="38" t="str">
        <x:v>daysOfWeek (0=CN)</x:v>
      </x:c>
      <x:c r="L4" s="38" t="str">
        <x:v>startTime</x:v>
      </x:c>
      <x:c r="M4" s="38" t="str">
        <x:v>endTime</x:v>
      </x:c>
      <x:c r="N4" s="38" t="str">
        <x:v>sessionCount</x:v>
      </x:c>
      <x:c r="O4" s="38" t="str">
        <x:v>Kiểu tạo</x:v>
      </x:c>
      <x:c r="P4" s="38" t="str">
        <x:v>Thiếu bắt buộc</x:v>
      </x:c>
      <x:c r="Q4" s="38" t="str">
        <x:v>Sẵn sàng ClassDoc</x:v>
      </x:c>
      <x:c r="R4" s="38" t="str">
        <x:v>Sẵn sàng lịch thông minh</x:v>
      </x:c>
      <x:c r="S4" s="17" t="str">
        <x:v>Nguồn</x:v>
      </x:c>
    </x:row>
    <x:row r="5">
      <x:c r="A5" s="82" t="str">
        <x:v>Tiền tiểu học 0</x:v>
      </x:c>
      <x:c r="B5" s="82" t="str">
        <x:v>Tiền tiểu học 2026</x:v>
      </x:c>
      <x:c r="C5" s="94" t="str"/>
      <x:c r="D5" s="94" t="str"/>
      <x:c r="E5" s="94" t="str"/>
      <x:c r="F5" s="82" t="str">
        <x:v>Bảo Anh (Nấm), Nguyễn Bảo Hà, Phạm Hà Dương, Hà Anh (ôn hè), Bảo Anh (ôn hè), Huyền Anh (ôn hè)</x:v>
      </x:c>
      <x:c r="G5" s="82" t="str">
        <x:v>Thứ 3, Thứ 5</x:v>
      </x:c>
      <x:c r="H5" s="94" t="str"/>
      <x:c r="I5" s="82" t="str">
        <x:v>active</x:v>
      </x:c>
      <x:c r="J5" s="92" t="n">
        <x:v>46175</x:v>
      </x:c>
      <x:c r="K5" s="82" t="str">
        <x:v>3,5</x:v>
      </x:c>
      <x:c r="L5" s="82" t="str"/>
      <x:c r="M5" s="82" t="str"/>
      <x:c r="N5" s="94" t="str"/>
      <x:c r="O5" s="82" t="str">
        <x:v>Tạo lớp thủ công</x:v>
      </x:c>
      <x:c r="P5" s="82" t="str">
        <x:v>courseId, subjectIds, teacherIds, location</x:v>
      </x:c>
      <x:c r="Q5" s="82" t="str">
        <x:f>IF(AND(A5&lt;&gt;"",C5&lt;&gt;"",D5&lt;&gt;"",E5&lt;&gt;"",I5&lt;&gt;""),"SẴN SÀNG","CHƯA SẴN SÀNG")</x:f>
        <x:v>CHƯA SẴN SÀNG</x:v>
      </x:c>
      <x:c r="R5" s="82" t="str">
        <x:v>CHƯA SẴN SÀNG</x:v>
      </x:c>
      <x:c r="S5" s="82" t="str">
        <x:v>PreKids 0</x:v>
      </x:c>
    </x:row>
    <x:row r="6">
      <x:c r="A6" s="83" t="str">
        <x:v>Tiền tiểu học 1</x:v>
      </x:c>
      <x:c r="B6" s="83" t="str">
        <x:v>Tiền tiểu học 2026</x:v>
      </x:c>
      <x:c r="C6" s="95" t="str"/>
      <x:c r="D6" s="95" t="str"/>
      <x:c r="E6" s="95" t="str"/>
      <x:c r="F6" s="83" t="str">
        <x:v>Minh Khôi, Đức Anh (Shin)</x:v>
      </x:c>
      <x:c r="G6" s="83" t="str">
        <x:v>Thứ 2, Thứ 3, Thứ 4, Thứ 5</x:v>
      </x:c>
      <x:c r="H6" s="95" t="str"/>
      <x:c r="I6" s="83" t="str">
        <x:v>active</x:v>
      </x:c>
      <x:c r="J6" s="93" t="n">
        <x:v>46175</x:v>
      </x:c>
      <x:c r="K6" s="83" t="str">
        <x:v>2,3,4,5</x:v>
      </x:c>
      <x:c r="L6" s="83" t="str"/>
      <x:c r="M6" s="83" t="str"/>
      <x:c r="N6" s="95" t="str"/>
      <x:c r="O6" s="83" t="str">
        <x:v>Tạo lớp thủ công</x:v>
      </x:c>
      <x:c r="P6" s="83" t="str">
        <x:v>courseId, subjectIds, teacherIds, location</x:v>
      </x:c>
      <x:c r="Q6" s="83" t="str">
        <x:f>IF(AND(A6&lt;&gt;"",C6&lt;&gt;"",D6&lt;&gt;"",E6&lt;&gt;"",I6&lt;&gt;""),"SẴN SÀNG","CHƯA SẴN SÀNG")</x:f>
        <x:v>CHƯA SẴN SÀNG</x:v>
      </x:c>
      <x:c r="R6" s="83" t="str">
        <x:v>CHƯA SẴN SÀNG</x:v>
      </x:c>
      <x:c r="S6" s="83" t="str">
        <x:v>PreKids 1</x:v>
      </x:c>
    </x:row>
    <x:row r="7">
      <x:c r="A7" s="83" t="str">
        <x:v>Tiền tiểu học 2</x:v>
      </x:c>
      <x:c r="B7" s="83" t="str">
        <x:v>Tiền tiểu học 2026</x:v>
      </x:c>
      <x:c r="C7" s="95" t="str"/>
      <x:c r="D7" s="95" t="str"/>
      <x:c r="E7" s="95" t="str"/>
      <x:c r="F7" s="83" t="str">
        <x:v>Quân Boong, Minh Quang (Gấu)</x:v>
      </x:c>
      <x:c r="G7" s="83" t="str">
        <x:v>Thứ 2, Thứ 4</x:v>
      </x:c>
      <x:c r="H7" s="95" t="str"/>
      <x:c r="I7" s="83" t="str">
        <x:v>active</x:v>
      </x:c>
      <x:c r="J7" s="93" t="n">
        <x:v>46174</x:v>
      </x:c>
      <x:c r="K7" s="83" t="str">
        <x:v>2,4</x:v>
      </x:c>
      <x:c r="L7" s="83" t="str"/>
      <x:c r="M7" s="83" t="str"/>
      <x:c r="N7" s="95" t="str"/>
      <x:c r="O7" s="83" t="str">
        <x:v>Tạo lớp thủ công</x:v>
      </x:c>
      <x:c r="P7" s="83" t="str">
        <x:v>courseId, subjectIds, teacherIds, location</x:v>
      </x:c>
      <x:c r="Q7" s="83" t="str">
        <x:f>IF(AND(A7&lt;&gt;"",C7&lt;&gt;"",D7&lt;&gt;"",E7&lt;&gt;"",I7&lt;&gt;""),"SẴN SÀNG","CHƯA SẴN SÀNG")</x:f>
        <x:v>CHƯA SẴN SÀNG</x:v>
      </x:c>
      <x:c r="R7" s="83" t="str">
        <x:v>CHƯA SẴN SÀNG</x:v>
      </x:c>
      <x:c r="S7" s="83" t="str">
        <x:v>PreKids 2</x:v>
      </x:c>
    </x:row>
    <x:row r="8">
      <x:c r="A8" s="83" t="str">
        <x:v>Tiền tiểu học 3</x:v>
      </x:c>
      <x:c r="B8" s="83" t="str">
        <x:v>Tiền tiểu học 2026</x:v>
      </x:c>
      <x:c r="C8" s="95" t="str"/>
      <x:c r="D8" s="95" t="str"/>
      <x:c r="E8" s="95" t="str"/>
      <x:c r="F8" s="83" t="str">
        <x:v>Nguyễn Minh Anh</x:v>
      </x:c>
      <x:c r="G8" s="83" t="str">
        <x:v>Thứ 2, Thứ 5</x:v>
      </x:c>
      <x:c r="H8" s="95" t="str"/>
      <x:c r="I8" s="83" t="str">
        <x:v>active</x:v>
      </x:c>
      <x:c r="J8" s="93" t="n">
        <x:v>46174</x:v>
      </x:c>
      <x:c r="K8" s="83" t="str">
        <x:v>2,5</x:v>
      </x:c>
      <x:c r="L8" s="83" t="str"/>
      <x:c r="M8" s="83" t="str"/>
      <x:c r="N8" s="95" t="str"/>
      <x:c r="O8" s="83" t="str">
        <x:v>Tạo lớp thủ công</x:v>
      </x:c>
      <x:c r="P8" s="83" t="str">
        <x:v>courseId, subjectIds, teacherIds, location</x:v>
      </x:c>
      <x:c r="Q8" s="83" t="str">
        <x:f>IF(AND(A8&lt;&gt;"",C8&lt;&gt;"",D8&lt;&gt;"",E8&lt;&gt;"",I8&lt;&gt;""),"SẴN SÀNG","CHƯA SẴN SÀNG")</x:f>
        <x:v>CHƯA SẴN SÀNG</x:v>
      </x:c>
      <x:c r="R8" s="83" t="str">
        <x:v>CHƯA SẴN SÀNG</x:v>
      </x:c>
      <x:c r="S8" s="83" t="str">
        <x:v>PreKids 3</x:v>
      </x:c>
    </x:row>
    <x:row r="9">
      <x:c r="A9" s="83" t="str">
        <x:v>Tiền tiểu học 4</x:v>
      </x:c>
      <x:c r="B9" s="83" t="str">
        <x:v>Tiền tiểu học 2026</x:v>
      </x:c>
      <x:c r="C9" s="95" t="str"/>
      <x:c r="D9" s="95" t="str"/>
      <x:c r="E9" s="95" t="str"/>
      <x:c r="F9" s="83" t="str">
        <x:v>Minh Khang (ôn hè)</x:v>
      </x:c>
      <x:c r="G9" s="83" t="str">
        <x:v>Thứ 2, Thứ 6</x:v>
      </x:c>
      <x:c r="H9" s="95" t="str"/>
      <x:c r="I9" s="83" t="str">
        <x:v>active</x:v>
      </x:c>
      <x:c r="J9" s="93" t="n">
        <x:v>46192</x:v>
      </x:c>
      <x:c r="K9" s="83" t="str">
        <x:v>2,6</x:v>
      </x:c>
      <x:c r="L9" s="83" t="str"/>
      <x:c r="M9" s="83" t="str"/>
      <x:c r="N9" s="95" t="str"/>
      <x:c r="O9" s="83" t="str">
        <x:v>Tạo lớp thủ công</x:v>
      </x:c>
      <x:c r="P9" s="83" t="str">
        <x:v>courseId, subjectIds, teacherIds, location</x:v>
      </x:c>
      <x:c r="Q9" s="83" t="str">
        <x:f>IF(AND(A9&lt;&gt;"",C9&lt;&gt;"",D9&lt;&gt;"",E9&lt;&gt;"",I9&lt;&gt;""),"SẴN SÀNG","CHƯA SẴN SÀNG")</x:f>
        <x:v>CHƯA SẴN SÀNG</x:v>
      </x:c>
      <x:c r="R9" s="83" t="str">
        <x:v>CHƯA SẴN SÀNG</x:v>
      </x:c>
      <x:c r="S9" s="83" t="str">
        <x:v>PreKids 4</x:v>
      </x:c>
    </x:row>
    <x:row r="10">
      <x:c r="A10" s="83" t="str">
        <x:v>Tiền tiểu học 5</x:v>
      </x:c>
      <x:c r="B10" s="83" t="str">
        <x:v>Tiền tiểu học 2026</x:v>
      </x:c>
      <x:c r="C10" s="95" t="str"/>
      <x:c r="D10" s="95" t="str"/>
      <x:c r="E10" s="95" t="str"/>
      <x:c r="F10" s="83" t="str">
        <x:v>Phương My (Sữa)</x:v>
      </x:c>
      <x:c r="G10" s="83" t="str">
        <x:v>Thứ 3, Thứ 4, Thứ 7</x:v>
      </x:c>
      <x:c r="H10" s="95" t="str"/>
      <x:c r="I10" s="83" t="str">
        <x:v>active</x:v>
      </x:c>
      <x:c r="J10" s="93" t="n">
        <x:v>46176</x:v>
      </x:c>
      <x:c r="K10" s="83" t="str">
        <x:v>3,4,0</x:v>
      </x:c>
      <x:c r="L10" s="83" t="str"/>
      <x:c r="M10" s="83" t="str"/>
      <x:c r="N10" s="95" t="str"/>
      <x:c r="O10" s="83" t="str">
        <x:v>Tạo lớp thủ công</x:v>
      </x:c>
      <x:c r="P10" s="83" t="str">
        <x:v>courseId, subjectIds, teacherIds, location</x:v>
      </x:c>
      <x:c r="Q10" s="83" t="str">
        <x:f>IF(AND(A10&lt;&gt;"",C10&lt;&gt;"",D10&lt;&gt;"",E10&lt;&gt;"",I10&lt;&gt;""),"SẴN SÀNG","CHƯA SẴN SÀNG")</x:f>
        <x:v>CHƯA SẴN SÀNG</x:v>
      </x:c>
      <x:c r="R10" s="83" t="str">
        <x:v>CHƯA SẴN SÀNG</x:v>
      </x:c>
      <x:c r="S10" s="83" t="str">
        <x:v>PreKids 5</x:v>
      </x:c>
    </x:row>
    <x:row r="11">
      <x:c r="A11" s="83" t="str">
        <x:v>Tiền tiểu học 6</x:v>
      </x:c>
      <x:c r="B11" s="83" t="str">
        <x:v>Tiền tiểu học 2026</x:v>
      </x:c>
      <x:c r="C11" s="95" t="str"/>
      <x:c r="D11" s="95" t="str"/>
      <x:c r="E11" s="95" t="str"/>
      <x:c r="F11" s="83" t="str">
        <x:v>Kem</x:v>
      </x:c>
      <x:c r="G11" s="83" t="str">
        <x:v>Thứ 3, Thứ 5, Thứ 7</x:v>
      </x:c>
      <x:c r="H11" s="95" t="str"/>
      <x:c r="I11" s="83" t="str">
        <x:v>active</x:v>
      </x:c>
      <x:c r="J11" s="93" t="n">
        <x:v>46175</x:v>
      </x:c>
      <x:c r="K11" s="83" t="str">
        <x:v>3,5,0</x:v>
      </x:c>
      <x:c r="L11" s="83" t="str"/>
      <x:c r="M11" s="83" t="str"/>
      <x:c r="N11" s="95" t="str"/>
      <x:c r="O11" s="83" t="str">
        <x:v>Tạo lớp thủ công</x:v>
      </x:c>
      <x:c r="P11" s="83" t="str">
        <x:v>courseId, subjectIds, teacherIds, location</x:v>
      </x:c>
      <x:c r="Q11" s="83" t="str">
        <x:f>IF(AND(A11&lt;&gt;"",C11&lt;&gt;"",D11&lt;&gt;"",E11&lt;&gt;"",I11&lt;&gt;""),"SẴN SÀNG","CHƯA SẴN SÀNG")</x:f>
        <x:v>CHƯA SẴN SÀNG</x:v>
      </x:c>
      <x:c r="R11" s="83" t="str">
        <x:v>CHƯA SẴN SÀNG</x:v>
      </x:c>
      <x:c r="S11" s="83" t="str">
        <x:v>PreKids 6</x:v>
      </x:c>
    </x:row>
    <x:row r="12">
      <x:c r="A12" s="83" t="str">
        <x:v>Tiền tiểu học 7</x:v>
      </x:c>
      <x:c r="B12" s="83" t="str">
        <x:v>Tiền tiểu học 2026</x:v>
      </x:c>
      <x:c r="C12" s="95" t="str"/>
      <x:c r="D12" s="95" t="str"/>
      <x:c r="E12" s="95" t="str"/>
      <x:c r="F12" s="83" t="str">
        <x:v>Quang Vinh</x:v>
      </x:c>
      <x:c r="G12" s="83" t="str">
        <x:v>Thứ 4</x:v>
      </x:c>
      <x:c r="H12" s="95" t="str"/>
      <x:c r="I12" s="83" t="str">
        <x:v>active</x:v>
      </x:c>
      <x:c r="J12" s="93" t="n">
        <x:v>46176</x:v>
      </x:c>
      <x:c r="K12" s="83" t="str">
        <x:v>4</x:v>
      </x:c>
      <x:c r="L12" s="83" t="str"/>
      <x:c r="M12" s="83" t="str"/>
      <x:c r="N12" s="95" t="str"/>
      <x:c r="O12" s="83" t="str">
        <x:v>Tạo lớp thủ công</x:v>
      </x:c>
      <x:c r="P12" s="83" t="str">
        <x:v>courseId, subjectIds, teacherIds, location</x:v>
      </x:c>
      <x:c r="Q12" s="83" t="str">
        <x:f>IF(AND(A12&lt;&gt;"",C12&lt;&gt;"",D12&lt;&gt;"",E12&lt;&gt;"",I12&lt;&gt;""),"SẴN SÀNG","CHƯA SẴN SÀNG")</x:f>
        <x:v>CHƯA SẴN SÀNG</x:v>
      </x:c>
      <x:c r="R12" s="83" t="str">
        <x:v>CHƯA SẴN SÀNG</x:v>
      </x:c>
      <x:c r="S12" s="83" t="str">
        <x:v>PreKids 7</x:v>
      </x:c>
    </x:row>
    <x:row r="13">
      <x:c r="A13" s="83" t="str">
        <x:v>Tiền tiểu học 8</x:v>
      </x:c>
      <x:c r="B13" s="83" t="str">
        <x:v>Tiền tiểu học 2026</x:v>
      </x:c>
      <x:c r="C13" s="95" t="str"/>
      <x:c r="D13" s="95" t="str"/>
      <x:c r="E13" s="95" t="str"/>
      <x:c r="F13" s="83" t="str">
        <x:v>Nguyên Đậu</x:v>
      </x:c>
      <x:c r="G13" s="83" t="str">
        <x:v>Thứ 4, Thứ 6, Thứ 7</x:v>
      </x:c>
      <x:c r="H13" s="95" t="str"/>
      <x:c r="I13" s="83" t="str">
        <x:v>active</x:v>
      </x:c>
      <x:c r="J13" s="93" t="n">
        <x:v>46176</x:v>
      </x:c>
      <x:c r="K13" s="83" t="str">
        <x:v>4,6,0</x:v>
      </x:c>
      <x:c r="L13" s="83" t="str"/>
      <x:c r="M13" s="83" t="str"/>
      <x:c r="N13" s="95" t="str"/>
      <x:c r="O13" s="83" t="str">
        <x:v>Tạo lớp thủ công</x:v>
      </x:c>
      <x:c r="P13" s="83" t="str">
        <x:v>courseId, subjectIds, teacherIds, location</x:v>
      </x:c>
      <x:c r="Q13" s="83" t="str">
        <x:f>IF(AND(A13&lt;&gt;"",C13&lt;&gt;"",D13&lt;&gt;"",E13&lt;&gt;"",I13&lt;&gt;""),"SẴN SÀNG","CHƯA SẴN SÀNG")</x:f>
        <x:v>CHƯA SẴN SÀNG</x:v>
      </x:c>
      <x:c r="R13" s="83" t="str">
        <x:v>CHƯA SẴN SÀNG</x:v>
      </x:c>
      <x:c r="S13" s="83" t="str">
        <x:v>PreKids 8</x:v>
      </x:c>
    </x:row>
    <x:row r="14">
      <x:c r="A14" s="83" t="str">
        <x:v>Tiền tiểu học 9</x:v>
      </x:c>
      <x:c r="B14" s="83" t="str">
        <x:v>Tiền tiểu học 2026</x:v>
      </x:c>
      <x:c r="C14" s="95" t="str"/>
      <x:c r="D14" s="95" t="str"/>
      <x:c r="E14" s="95" t="str"/>
      <x:c r="F14" s="83" t="str">
        <x:v>Nguyễn Minh Ngọc</x:v>
      </x:c>
      <x:c r="G14" s="83" t="str">
        <x:v>Thứ 6, Thứ 7</x:v>
      </x:c>
      <x:c r="H14" s="95" t="str"/>
      <x:c r="I14" s="83" t="str">
        <x:v>active</x:v>
      </x:c>
      <x:c r="J14" s="93" t="n">
        <x:v>46178</x:v>
      </x:c>
      <x:c r="K14" s="83" t="str">
        <x:v>6,0</x:v>
      </x:c>
      <x:c r="L14" s="83" t="str"/>
      <x:c r="M14" s="83" t="str"/>
      <x:c r="N14" s="95" t="str"/>
      <x:c r="O14" s="83" t="str">
        <x:v>Tạo lớp thủ công</x:v>
      </x:c>
      <x:c r="P14" s="83" t="str">
        <x:v>courseId, subjectIds, teacherIds, location</x:v>
      </x:c>
      <x:c r="Q14" s="83" t="str">
        <x:f>IF(AND(A14&lt;&gt;"",C14&lt;&gt;"",D14&lt;&gt;"",E14&lt;&gt;"",I14&lt;&gt;""),"SẴN SÀNG","CHƯA SẴN SÀNG")</x:f>
        <x:v>CHƯA SẴN SÀNG</x:v>
      </x:c>
      <x:c r="R14" s="83" t="str">
        <x:v>CHƯA SẴN SÀNG</x:v>
      </x:c>
      <x:c r="S14" s="83" t="str">
        <x:v>PreKids 9</x:v>
      </x:c>
    </x:row>
    <x:row r="15">
      <x:c r="A15" s="83" t="str">
        <x:v>Tiền tiểu học 10</x:v>
      </x:c>
      <x:c r="B15" s="83" t="str">
        <x:v>Tiền tiểu học 2026</x:v>
      </x:c>
      <x:c r="C15" s="95" t="str"/>
      <x:c r="D15" s="95" t="str"/>
      <x:c r="E15" s="95" t="str"/>
      <x:c r="F15" s="83" t="str">
        <x:v>Cherry</x:v>
      </x:c>
      <x:c r="G15" s="83" t="str">
        <x:v>Thứ 7</x:v>
      </x:c>
      <x:c r="H15" s="95" t="str"/>
      <x:c r="I15" s="83" t="str">
        <x:v>active</x:v>
      </x:c>
      <x:c r="J15" s="93" t="n">
        <x:v>46228</x:v>
      </x:c>
      <x:c r="K15" s="83" t="str">
        <x:v>0</x:v>
      </x:c>
      <x:c r="L15" s="83" t="str"/>
      <x:c r="M15" s="83" t="str"/>
      <x:c r="N15" s="95" t="str"/>
      <x:c r="O15" s="83" t="str">
        <x:v>Tạo lớp thủ công</x:v>
      </x:c>
      <x:c r="P15" s="83" t="str">
        <x:v>courseId, subjectIds, teacherIds, location</x:v>
      </x:c>
      <x:c r="Q15" s="83" t="str">
        <x:f>IF(AND(A15&lt;&gt;"",C15&lt;&gt;"",D15&lt;&gt;"",E15&lt;&gt;"",I15&lt;&gt;""),"SẴN SÀNG","CHƯA SẴN SÀNG")</x:f>
        <x:v>CHƯA SẴN SÀNG</x:v>
      </x:c>
      <x:c r="R15" s="83" t="str">
        <x:v>CHƯA SẴN SÀNG</x:v>
      </x:c>
      <x:c r="S15" s="83" t="str">
        <x:v>PreKids 10</x:v>
      </x:c>
    </x:row>
    <x:row r="16">
      <x:c r="A16" s="83" t="str">
        <x:v>Luyện chữ đẹp 1</x:v>
      </x:c>
      <x:c r="B16" s="83" t="str">
        <x:v>Luyện chữ đẹp 2026</x:v>
      </x:c>
      <x:c r="C16" s="95" t="str"/>
      <x:c r="D16" s="95" t="str"/>
      <x:c r="E16" s="95" t="str"/>
      <x:c r="F16" s="83" t="str">
        <x:v>Trần Quốc Bảo, Trịnh Ngọc Gia Hân, Nguyễn Nam Khang, Trần Đức Khôi</x:v>
      </x:c>
      <x:c r="G16" s="83" t="str">
        <x:v>Thứ 2, Thứ 4 · 08:30-10:00</x:v>
      </x:c>
      <x:c r="H16" s="95" t="str"/>
      <x:c r="I16" s="83" t="str">
        <x:v>active</x:v>
      </x:c>
      <x:c r="J16" s="93" t="n">
        <x:v>46174</x:v>
      </x:c>
      <x:c r="K16" s="83" t="str">
        <x:v>2,4</x:v>
      </x:c>
      <x:c r="L16" s="83" t="str">
        <x:v>08:30</x:v>
      </x:c>
      <x:c r="M16" s="83" t="str">
        <x:v>10:00</x:v>
      </x:c>
      <x:c r="N16" s="95" t="str"/>
      <x:c r="O16" s="83" t="str">
        <x:v>Có thể dùng lịch thông minh</x:v>
      </x:c>
      <x:c r="P16" s="83" t="str">
        <x:v>courseId, subjectIds, teacherIds, location</x:v>
      </x:c>
      <x:c r="Q16" s="83" t="str">
        <x:f>IF(AND(A16&lt;&gt;"",C16&lt;&gt;"",D16&lt;&gt;"",E16&lt;&gt;"",I16&lt;&gt;""),"SẴN SÀNG","CHƯA SẴN SÀNG")</x:f>
        <x:v>CHƯA SẴN SÀNG</x:v>
      </x:c>
      <x:c r="R16" s="83" t="str">
        <x:v>CHƯA SẴN SÀNG</x:v>
      </x:c>
      <x:c r="S16" s="83" t="str">
        <x:v>Luyện chữ hè 1</x:v>
      </x:c>
    </x:row>
    <x:row r="17">
      <x:c r="A17" s="83" t="str">
        <x:v>Luyện chữ đẹp 2</x:v>
      </x:c>
      <x:c r="B17" s="83" t="str">
        <x:v>Luyện chữ đẹp 2026</x:v>
      </x:c>
      <x:c r="C17" s="95" t="str"/>
      <x:c r="D17" s="95" t="str"/>
      <x:c r="E17" s="95" t="str"/>
      <x:c r="F17" s="83" t="str">
        <x:v>Vũ Nhật Minh, Vũ Tú Anh, Phùng Minh Quang</x:v>
      </x:c>
      <x:c r="G17" s="83" t="str">
        <x:v>Thứ 3, Thứ 5 · 08:30-10:00</x:v>
      </x:c>
      <x:c r="H17" s="95" t="str"/>
      <x:c r="I17" s="83" t="str">
        <x:v>active</x:v>
      </x:c>
      <x:c r="J17" s="93" t="n">
        <x:v>46175</x:v>
      </x:c>
      <x:c r="K17" s="83" t="str">
        <x:v>3,5</x:v>
      </x:c>
      <x:c r="L17" s="83" t="str">
        <x:v>08:30</x:v>
      </x:c>
      <x:c r="M17" s="83" t="str">
        <x:v>10:00</x:v>
      </x:c>
      <x:c r="N17" s="95" t="str"/>
      <x:c r="O17" s="83" t="str">
        <x:v>Có thể dùng lịch thông minh</x:v>
      </x:c>
      <x:c r="P17" s="83" t="str">
        <x:v>courseId, subjectIds, teacherIds, location</x:v>
      </x:c>
      <x:c r="Q17" s="83" t="str">
        <x:f>IF(AND(A17&lt;&gt;"",C17&lt;&gt;"",D17&lt;&gt;"",E17&lt;&gt;"",I17&lt;&gt;""),"SẴN SÀNG","CHƯA SẴN SÀNG")</x:f>
        <x:v>CHƯA SẴN SÀNG</x:v>
      </x:c>
      <x:c r="R17" s="83" t="str">
        <x:v>CHƯA SẴN SÀNG</x:v>
      </x:c>
      <x:c r="S17" s="83" t="str">
        <x:v>Luyện chữ hè 2</x:v>
      </x:c>
    </x:row>
    <x:row r="18">
      <x:c r="A18" s="83" t="str">
        <x:v>Luyện chữ đẹp 3</x:v>
      </x:c>
      <x:c r="B18" s="83" t="str">
        <x:v>Luyện chữ đẹp 2026</x:v>
      </x:c>
      <x:c r="C18" s="95" t="str"/>
      <x:c r="D18" s="95" t="str"/>
      <x:c r="E18" s="95" t="str"/>
      <x:c r="F18" s="83" t="str">
        <x:v>Duy Đăng, Nguyễn Quỳnh Trang</x:v>
      </x:c>
      <x:c r="G18" s="83" t="str"/>
      <x:c r="H18" s="95" t="str"/>
      <x:c r="I18" s="83" t="str">
        <x:v>active</x:v>
      </x:c>
      <x:c r="J18" s="93" t="n">
        <x:v>46230</x:v>
      </x:c>
      <x:c r="K18" s="83" t="str"/>
      <x:c r="L18" s="83" t="str"/>
      <x:c r="M18" s="83" t="str"/>
      <x:c r="N18" s="95" t="str"/>
      <x:c r="O18" s="83" t="str">
        <x:v>Tạo lớp thủ công</x:v>
      </x:c>
      <x:c r="P18" s="83" t="str">
        <x:v>courseId, subjectIds, teacherIds, location</x:v>
      </x:c>
      <x:c r="Q18" s="83" t="str">
        <x:f>IF(AND(A18&lt;&gt;"",C18&lt;&gt;"",D18&lt;&gt;"",E18&lt;&gt;"",I18&lt;&gt;""),"SẴN SÀNG","CHƯA SẴN SÀNG")</x:f>
        <x:v>CHƯA SẴN SÀNG</x:v>
      </x:c>
      <x:c r="R18" s="83" t="str">
        <x:v>CHƯA SẴN SÀNG</x:v>
      </x:c>
      <x:c r="S18" s="83" t="str">
        <x:v>Luyện chữ hè 3</x:v>
      </x:c>
    </x:row>
    <x:row r="19">
      <x:c r="A19" s="83" t="str">
        <x:v>Luyện chữ đẹp 4</x:v>
      </x:c>
      <x:c r="B19" s="83" t="str">
        <x:v>Luyện chữ đẹp 2026</x:v>
      </x:c>
      <x:c r="C19" s="95" t="str"/>
      <x:c r="D19" s="95" t="str"/>
      <x:c r="E19" s="95" t="str"/>
      <x:c r="F19" s="83" t="str">
        <x:v>Kenry</x:v>
      </x:c>
      <x:c r="G19" s="83" t="str"/>
      <x:c r="H19" s="95" t="str"/>
      <x:c r="I19" s="83" t="str">
        <x:v>active</x:v>
      </x:c>
      <x:c r="J19" s="93"/>
      <x:c r="K19" s="83" t="str"/>
      <x:c r="L19" s="83" t="str"/>
      <x:c r="M19" s="83" t="str"/>
      <x:c r="N19" s="95" t="str"/>
      <x:c r="O19" s="83" t="str">
        <x:v>Tạo lớp thủ công</x:v>
      </x:c>
      <x:c r="P19" s="83" t="str">
        <x:v>courseId, subjectIds, teacherIds, location</x:v>
      </x:c>
      <x:c r="Q19" s="83" t="str">
        <x:f>IF(AND(A19&lt;&gt;"",C19&lt;&gt;"",D19&lt;&gt;"",E19&lt;&gt;"",I19&lt;&gt;""),"SẴN SÀNG","CHƯA SẴN SÀNG")</x:f>
        <x:v>CHƯA SẴN SÀNG</x:v>
      </x:c>
      <x:c r="R19" s="83" t="str">
        <x:v>CHƯA SẴN SÀNG</x:v>
      </x:c>
      <x:c r="S19" s="83" t="str">
        <x:v>Luyện chữ hè 4</x:v>
      </x:c>
    </x:row>
    <x:row r="20">
      <x:c r="A20" s="83" t="str">
        <x:v>Luyện chữ đẹp 5</x:v>
      </x:c>
      <x:c r="B20" s="83" t="str">
        <x:v>Luyện chữ đẹp 2026</x:v>
      </x:c>
      <x:c r="C20" s="95" t="str"/>
      <x:c r="D20" s="95" t="str"/>
      <x:c r="E20" s="95" t="str"/>
      <x:c r="F20" s="83" t="str">
        <x:v>Ngọc Châu</x:v>
      </x:c>
      <x:c r="G20" s="83" t="str">
        <x:v>Thứ 2, Thứ 4 · 19:45-21:00</x:v>
      </x:c>
      <x:c r="H20" s="95" t="str"/>
      <x:c r="I20" s="83" t="str">
        <x:v>active</x:v>
      </x:c>
      <x:c r="J20" s="93" t="n">
        <x:v>46176</x:v>
      </x:c>
      <x:c r="K20" s="83" t="str">
        <x:v>2,4</x:v>
      </x:c>
      <x:c r="L20" s="83" t="str">
        <x:v>19:45</x:v>
      </x:c>
      <x:c r="M20" s="83" t="str">
        <x:v>21:00</x:v>
      </x:c>
      <x:c r="N20" s="95" t="str"/>
      <x:c r="O20" s="83" t="str">
        <x:v>Có thể dùng lịch thông minh</x:v>
      </x:c>
      <x:c r="P20" s="83" t="str">
        <x:v>courseId, subjectIds, teacherIds, location</x:v>
      </x:c>
      <x:c r="Q20" s="83" t="str">
        <x:f>IF(AND(A20&lt;&gt;"",C20&lt;&gt;"",D20&lt;&gt;"",E20&lt;&gt;"",I20&lt;&gt;""),"SẴN SÀNG","CHƯA SẴN SÀNG")</x:f>
        <x:v>CHƯA SẴN SÀNG</x:v>
      </x:c>
      <x:c r="R20" s="83" t="str">
        <x:v>CHƯA SẴN SÀNG</x:v>
      </x:c>
      <x:c r="S20" s="83" t="str">
        <x:v>Luyện chữ hè 5</x:v>
      </x:c>
    </x:row>
    <x:row r="21">
      <x:c r="A21" s="83" t="str">
        <x:v>Luyện chữ đẹp 6</x:v>
      </x:c>
      <x:c r="B21" s="83" t="str">
        <x:v>Luyện chữ đẹp 2026</x:v>
      </x:c>
      <x:c r="C21" s="95" t="str"/>
      <x:c r="D21" s="95" t="str"/>
      <x:c r="E21" s="95" t="str"/>
      <x:c r="F21" s="83" t="str">
        <x:v>Vũ Quang Hùng</x:v>
      </x:c>
      <x:c r="G21" s="83" t="str">
        <x:v>Thứ 4, Thứ 6 · 19:45-21:00</x:v>
      </x:c>
      <x:c r="H21" s="95" t="str"/>
      <x:c r="I21" s="83" t="str">
        <x:v>active</x:v>
      </x:c>
      <x:c r="J21" s="93" t="n">
        <x:v>46176</x:v>
      </x:c>
      <x:c r="K21" s="83" t="str">
        <x:v>4,6</x:v>
      </x:c>
      <x:c r="L21" s="83" t="str">
        <x:v>19:45</x:v>
      </x:c>
      <x:c r="M21" s="83" t="str">
        <x:v>21:00</x:v>
      </x:c>
      <x:c r="N21" s="95" t="str"/>
      <x:c r="O21" s="83" t="str">
        <x:v>Có thể dùng lịch thông minh</x:v>
      </x:c>
      <x:c r="P21" s="83" t="str">
        <x:v>courseId, subjectIds, teacherIds, location</x:v>
      </x:c>
      <x:c r="Q21" s="83" t="str">
        <x:f>IF(AND(A21&lt;&gt;"",C21&lt;&gt;"",D21&lt;&gt;"",E21&lt;&gt;"",I21&lt;&gt;""),"SẴN SÀNG","CHƯA SẴN SÀNG")</x:f>
        <x:v>CHƯA SẴN SÀNG</x:v>
      </x:c>
      <x:c r="R21" s="83" t="str">
        <x:v>CHƯA SẴN SÀNG</x:v>
      </x:c>
      <x:c r="S21" s="83" t="str">
        <x:v>Luyện chữ hè 6</x:v>
      </x:c>
    </x:row>
  </x:sheetData>
  <x:mergeCells>
    <x:mergeCell ref="A1:S1"/>
    <x:mergeCell ref="A2:S2"/>
  </x:mergeCells>
  <x:conditionalFormatting sqref="Q5:R21">
    <x:cfRule type="containsText" dxfId="3" priority="1" operator="containsText" text="CHƯA"/>
  </x:conditionalFormatting>
  <x:dataValidations count="1">
    <x:dataValidation type="list" sqref="I5:I21">
      <x:formula1>"active,completed,cancelled"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71f5b83b9341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.130000114440918" hidden="0" customWidth="1"/>
    <x:col min="3" max="3" width="18.1299991607666" hidden="0" customWidth="1"/>
    <x:col min="4" max="4" width="18.1299991607666" hidden="0" customWidth="1"/>
    <x:col min="5" max="5" width="10.630000114440918" hidden="0" customWidth="1"/>
    <x:col min="6" max="6" width="17.5" hidden="0" customWidth="1"/>
    <x:col min="7" max="7" width="15.630000114440918" hidden="0" customWidth="1"/>
    <x:col min="8" max="8" width="11.880000114440918" hidden="0" customWidth="1"/>
    <x:col min="9" max="9" width="12.5" hidden="0" customWidth="1"/>
    <x:col min="10" max="10" width="37.5" hidden="0" customWidth="1"/>
    <x:col min="11" max="11" width="12.5" hidden="0" customWidth="1"/>
    <x:col min="12" max="12" width="21.8799991607666" hidden="0" customWidth="1"/>
    <x:col min="13" max="13" width="13.75" hidden="0" customWidth="1"/>
    <x:col min="14" max="14" width="11.25" hidden="0" customWidth="1"/>
  </x:cols>
  <x:sheetData>
    <x:row r="1" ht="34" customHeight="1">
      <x:c r="A1" s="3" t="str">
        <x:v>  HỌC VIÊN ĐÃ TÁCH THEO LỚP</x:v>
      </x:c>
      <x:c r="B1" s="3" t="str">
        <x:v>  HỌC VIÊN ĐÃ TÁCH THEO LỚP</x:v>
      </x:c>
      <x:c r="C1" s="3" t="str">
        <x:v>  HỌC VIÊN ĐÃ TÁCH THEO LỚP</x:v>
      </x:c>
      <x:c r="D1" s="3" t="str">
        <x:v>  HỌC VIÊN ĐÃ TÁCH THEO LỚP</x:v>
      </x:c>
      <x:c r="E1" s="3" t="str">
        <x:v>  HỌC VIÊN ĐÃ TÁCH THEO LỚP</x:v>
      </x:c>
      <x:c r="F1" s="3" t="str">
        <x:v>  HỌC VIÊN ĐÃ TÁCH THEO LỚP</x:v>
      </x:c>
      <x:c r="G1" s="3" t="str">
        <x:v>  HỌC VIÊN ĐÃ TÁCH THEO LỚP</x:v>
      </x:c>
      <x:c r="H1" s="3" t="str">
        <x:v>  HỌC VIÊN ĐÃ TÁCH THEO LỚP</x:v>
      </x:c>
      <x:c r="I1" s="3" t="str">
        <x:v>  HỌC VIÊN ĐÃ TÁCH THEO LỚP</x:v>
      </x:c>
      <x:c r="J1" s="3" t="str">
        <x:v>  HỌC VIÊN ĐÃ TÁCH THEO LỚP</x:v>
      </x:c>
      <x:c r="K1" s="3" t="str">
        <x:v>  HỌC VIÊN ĐÃ TÁCH THEO LỚP</x:v>
      </x:c>
      <x:c r="L1" s="3" t="str">
        <x:v>  HỌC VIÊN ĐÃ TÁCH THEO LỚP</x:v>
      </x:c>
      <x:c r="M1" s="3" t="str">
        <x:v>  HỌC VIÊN ĐÃ TÁCH THEO LỚP</x:v>
      </x:c>
      <x:c r="N1" s="3" t="str">
        <x:v>  HỌC VIÊN ĐÃ TÁCH THEO LỚP</x:v>
      </x:c>
    </x:row>
    <x:row r="2" ht="34" customHeight="1">
      <x:c r="A2" s="7" t="str">
        <x:v>studentCode và dateOfBirth là trường bắt buộc trong form hệ thống; chưa sinh mã tạm để tránh trùng dữ liệu thật.</x:v>
      </x:c>
      <x:c r="B2" s="7" t="str">
        <x:v>studentCode và dateOfBirth là trường bắt buộc trong form hệ thống; chưa sinh mã tạm để tránh trùng dữ liệu thật.</x:v>
      </x:c>
      <x:c r="C2" s="7" t="str">
        <x:v>studentCode và dateOfBirth là trường bắt buộc trong form hệ thống; chưa sinh mã tạm để tránh trùng dữ liệu thật.</x:v>
      </x:c>
      <x:c r="D2" s="7" t="str">
        <x:v>studentCode và dateOfBirth là trường bắt buộc trong form hệ thống; chưa sinh mã tạm để tránh trùng dữ liệu thật.</x:v>
      </x:c>
      <x:c r="E2" s="7" t="str">
        <x:v>studentCode và dateOfBirth là trường bắt buộc trong form hệ thống; chưa sinh mã tạm để tránh trùng dữ liệu thật.</x:v>
      </x:c>
      <x:c r="F2" s="7" t="str">
        <x:v>studentCode và dateOfBirth là trường bắt buộc trong form hệ thống; chưa sinh mã tạm để tránh trùng dữ liệu thật.</x:v>
      </x:c>
      <x:c r="G2" s="7" t="str">
        <x:v>studentCode và dateOfBirth là trường bắt buộc trong form hệ thống; chưa sinh mã tạm để tránh trùng dữ liệu thật.</x:v>
      </x:c>
      <x:c r="H2" s="7" t="str">
        <x:v>studentCode và dateOfBirth là trường bắt buộc trong form hệ thống; chưa sinh mã tạm để tránh trùng dữ liệu thật.</x:v>
      </x:c>
      <x:c r="I2" s="7" t="str">
        <x:v>studentCode và dateOfBirth là trường bắt buộc trong form hệ thống; chưa sinh mã tạm để tránh trùng dữ liệu thật.</x:v>
      </x:c>
      <x:c r="J2" s="7" t="str">
        <x:v>studentCode và dateOfBirth là trường bắt buộc trong form hệ thống; chưa sinh mã tạm để tránh trùng dữ liệu thật.</x:v>
      </x:c>
      <x:c r="K2" s="7" t="str">
        <x:v>studentCode và dateOfBirth là trường bắt buộc trong form hệ thống; chưa sinh mã tạm để tránh trùng dữ liệu thật.</x:v>
      </x:c>
      <x:c r="L2" s="7" t="str">
        <x:v>studentCode và dateOfBirth là trường bắt buộc trong form hệ thống; chưa sinh mã tạm để tránh trùng dữ liệu thật.</x:v>
      </x:c>
      <x:c r="M2" s="7" t="str">
        <x:v>studentCode và dateOfBirth là trường bắt buộc trong form hệ thống; chưa sinh mã tạm để tránh trùng dữ liệu thật.</x:v>
      </x:c>
      <x:c r="N2" s="7" t="str">
        <x:v>studentCode và dateOfBirth là trường bắt buộc trong form hệ thống; chưa sinh mã tạm để tránh trùng dữ liệu thật.</x:v>
      </x:c>
    </x:row>
    <x:row r="4" ht="30" customHeight="1">
      <x:c r="A4" s="16" t="str">
        <x:v>STT</x:v>
      </x:c>
      <x:c r="B4" s="38" t="str">
        <x:v>studentCode*</x:v>
      </x:c>
      <x:c r="C4" s="38" t="str">
        <x:v>Họ tên nguồn</x:v>
      </x:c>
      <x:c r="D4" s="38" t="str">
        <x:v>fullName</x:v>
      </x:c>
      <x:c r="E4" s="38" t="str">
        <x:v>nickname</x:v>
      </x:c>
      <x:c r="F4" s="38" t="str">
        <x:v>Lớp hệ thống</x:v>
      </x:c>
      <x:c r="G4" s="38" t="str">
        <x:v>Chương trình</x:v>
      </x:c>
      <x:c r="H4" s="38" t="str">
        <x:v>Ngày vào học</x:v>
      </x:c>
      <x:c r="I4" s="38" t="str">
        <x:v>dateOfBirth*</x:v>
      </x:c>
      <x:c r="J4" s="38" t="str">
        <x:v>staffNote</x:v>
      </x:c>
      <x:c r="K4" s="38" t="str">
        <x:v>Trạng thái</x:v>
      </x:c>
      <x:c r="L4" s="38" t="str">
        <x:v>Sẵn sàng StudentDoc</x:v>
      </x:c>
      <x:c r="M4" s="38" t="str">
        <x:v>Tên lớp nguồn</x:v>
      </x:c>
      <x:c r="N4" s="17" t="str">
        <x:v>Nhãn gốc</x:v>
      </x:c>
    </x:row>
    <x:row r="5">
      <x:c r="A5" s="82" t="n">
        <x:v>1</x:v>
      </x:c>
      <x:c r="B5" s="94" t="str"/>
      <x:c r="C5" s="82" t="str">
        <x:v>Bảo Anh (Nấm)</x:v>
      </x:c>
      <x:c r="D5" s="82" t="str">
        <x:v>Bảo Anh</x:v>
      </x:c>
      <x:c r="E5" s="82" t="str">
        <x:v>Nấm</x:v>
      </x:c>
      <x:c r="F5" s="82" t="str">
        <x:v>Tiền tiểu học 0</x:v>
      </x:c>
      <x:c r="G5" s="82" t="str">
        <x:v>Tiền tiểu học</x:v>
      </x:c>
      <x:c r="H5" s="84" t="n">
        <x:v>46217</x:v>
      </x:c>
      <x:c r="I5" s="96" t="str"/>
      <x:c r="J5" s="90" t="str">
        <x:v>Nguồn ghi học 1 buổi từ 02/06, học đều từ 14/07; dùng 14/07 làm ngày bắt đầu thực tế và cần xác nhận.</x:v>
      </x:c>
      <x:c r="K5" s="82" t="str">
        <x:v>Đang/đã học</x:v>
      </x:c>
      <x:c r="L5" s="82" t="str">
        <x:f>IF(AND(B5&lt;&gt;"",D5&lt;&gt;"",I5&lt;&gt;""),"SẴN SÀNG","THIẾU MÃ HS/NGÀY SINH")</x:f>
        <x:v>THIẾU MÃ HS/NGÀY SINH</x:v>
      </x:c>
      <x:c r="M5" s="82" t="str">
        <x:v>PreKids 0</x:v>
      </x:c>
      <x:c r="N5" s="82" t="str"/>
    </x:row>
    <x:row r="6">
      <x:c r="A6" s="83" t="n">
        <x:v>2</x:v>
      </x:c>
      <x:c r="B6" s="95" t="str"/>
      <x:c r="C6" s="83" t="str">
        <x:v>Nguyễn Bảo Hà</x:v>
      </x:c>
      <x:c r="D6" s="83" t="str">
        <x:v>Nguyễn Bảo Hà</x:v>
      </x:c>
      <x:c r="E6" s="83" t="str"/>
      <x:c r="F6" s="83" t="str">
        <x:v>Tiền tiểu học 0</x:v>
      </x:c>
      <x:c r="G6" s="83" t="str">
        <x:v>Tiền tiểu học</x:v>
      </x:c>
      <x:c r="H6" s="85" t="n">
        <x:v>46175</x:v>
      </x:c>
      <x:c r="I6" s="97" t="str"/>
      <x:c r="J6" s="91" t="str"/>
      <x:c r="K6" s="83" t="str">
        <x:v>Đang/đã học</x:v>
      </x:c>
      <x:c r="L6" s="83" t="str">
        <x:f>IF(AND(B6&lt;&gt;"",D6&lt;&gt;"",I6&lt;&gt;""),"SẴN SÀNG","THIẾU MÃ HS/NGÀY SINH")</x:f>
        <x:v>THIẾU MÃ HS/NGÀY SINH</x:v>
      </x:c>
      <x:c r="M6" s="83" t="str">
        <x:v>PreKids 0</x:v>
      </x:c>
      <x:c r="N6" s="83" t="str"/>
    </x:row>
    <x:row r="7">
      <x:c r="A7" s="83" t="n">
        <x:v>3</x:v>
      </x:c>
      <x:c r="B7" s="95" t="str"/>
      <x:c r="C7" s="83" t="str">
        <x:v>Phạm Hà Dương</x:v>
      </x:c>
      <x:c r="D7" s="83" t="str">
        <x:v>Phạm Hà Dương</x:v>
      </x:c>
      <x:c r="E7" s="83" t="str"/>
      <x:c r="F7" s="83" t="str">
        <x:v>Tiền tiểu học 0</x:v>
      </x:c>
      <x:c r="G7" s="83" t="str">
        <x:v>Tiền tiểu học</x:v>
      </x:c>
      <x:c r="H7" s="85" t="n">
        <x:v>46175</x:v>
      </x:c>
      <x:c r="I7" s="97" t="str"/>
      <x:c r="J7" s="91" t="str"/>
      <x:c r="K7" s="83" t="str">
        <x:v>Đang/đã học</x:v>
      </x:c>
      <x:c r="L7" s="83" t="str">
        <x:f>IF(AND(B7&lt;&gt;"",D7&lt;&gt;"",I7&lt;&gt;""),"SẴN SÀNG","THIẾU MÃ HS/NGÀY SINH")</x:f>
        <x:v>THIẾU MÃ HS/NGÀY SINH</x:v>
      </x:c>
      <x:c r="M7" s="83" t="str">
        <x:v>PreKids 0</x:v>
      </x:c>
      <x:c r="N7" s="83" t="str"/>
    </x:row>
    <x:row r="8">
      <x:c r="A8" s="83" t="n">
        <x:v>4</x:v>
      </x:c>
      <x:c r="B8" s="95" t="str"/>
      <x:c r="C8" s="83" t="str">
        <x:v>Hà Anh (ôn hè)</x:v>
      </x:c>
      <x:c r="D8" s="83" t="str">
        <x:v>Hà Anh</x:v>
      </x:c>
      <x:c r="E8" s="83" t="str"/>
      <x:c r="F8" s="83" t="str">
        <x:v>Tiền tiểu học 0</x:v>
      </x:c>
      <x:c r="G8" s="83" t="str">
        <x:v>Tiền tiểu học</x:v>
      </x:c>
      <x:c r="H8" s="85" t="n">
        <x:v>46182</x:v>
      </x:c>
      <x:c r="I8" s="97" t="str"/>
      <x:c r="J8" s="91" t="str">
        <x:v>Nhóm: ôn hè</x:v>
      </x:c>
      <x:c r="K8" s="83" t="str">
        <x:v>Đang/đã học</x:v>
      </x:c>
      <x:c r="L8" s="83" t="str">
        <x:f>IF(AND(B8&lt;&gt;"",D8&lt;&gt;"",I8&lt;&gt;""),"SẴN SÀNG","THIẾU MÃ HS/NGÀY SINH")</x:f>
        <x:v>THIẾU MÃ HS/NGÀY SINH</x:v>
      </x:c>
      <x:c r="M8" s="83" t="str">
        <x:v>PreKids 0</x:v>
      </x:c>
      <x:c r="N8" s="83" t="str">
        <x:v>ôn hè</x:v>
      </x:c>
    </x:row>
    <x:row r="9">
      <x:c r="A9" s="83" t="n">
        <x:v>5</x:v>
      </x:c>
      <x:c r="B9" s="95" t="str"/>
      <x:c r="C9" s="83" t="str">
        <x:v>Bảo Anh (ôn hè)</x:v>
      </x:c>
      <x:c r="D9" s="83" t="str">
        <x:v>Bảo Anh</x:v>
      </x:c>
      <x:c r="E9" s="83" t="str"/>
      <x:c r="F9" s="83" t="str">
        <x:v>Tiền tiểu học 0</x:v>
      </x:c>
      <x:c r="G9" s="83" t="str">
        <x:v>Tiền tiểu học</x:v>
      </x:c>
      <x:c r="H9" s="85" t="n">
        <x:v>46182</x:v>
      </x:c>
      <x:c r="I9" s="97" t="str"/>
      <x:c r="J9" s="91" t="str">
        <x:v>Nhóm: ôn hè</x:v>
      </x:c>
      <x:c r="K9" s="83" t="str">
        <x:v>Đang/đã học</x:v>
      </x:c>
      <x:c r="L9" s="83" t="str">
        <x:f>IF(AND(B9&lt;&gt;"",D9&lt;&gt;"",I9&lt;&gt;""),"SẴN SÀNG","THIẾU MÃ HS/NGÀY SINH")</x:f>
        <x:v>THIẾU MÃ HS/NGÀY SINH</x:v>
      </x:c>
      <x:c r="M9" s="83" t="str">
        <x:v>PreKids 0</x:v>
      </x:c>
      <x:c r="N9" s="83" t="str">
        <x:v>ôn hè</x:v>
      </x:c>
    </x:row>
    <x:row r="10">
      <x:c r="A10" s="83" t="n">
        <x:v>6</x:v>
      </x:c>
      <x:c r="B10" s="95" t="str"/>
      <x:c r="C10" s="83" t="str">
        <x:v>Huyền Anh (ôn hè)</x:v>
      </x:c>
      <x:c r="D10" s="83" t="str">
        <x:v>Huyền Anh</x:v>
      </x:c>
      <x:c r="E10" s="83" t="str"/>
      <x:c r="F10" s="83" t="str">
        <x:v>Tiền tiểu học 0</x:v>
      </x:c>
      <x:c r="G10" s="83" t="str">
        <x:v>Tiền tiểu học</x:v>
      </x:c>
      <x:c r="H10" s="85" t="n">
        <x:v>46191</x:v>
      </x:c>
      <x:c r="I10" s="97" t="str"/>
      <x:c r="J10" s="91" t="str">
        <x:v>Nhóm: ôn hè</x:v>
      </x:c>
      <x:c r="K10" s="83" t="str">
        <x:v>Đang/đã học</x:v>
      </x:c>
      <x:c r="L10" s="83" t="str">
        <x:f>IF(AND(B10&lt;&gt;"",D10&lt;&gt;"",I10&lt;&gt;""),"SẴN SÀNG","THIẾU MÃ HS/NGÀY SINH")</x:f>
        <x:v>THIẾU MÃ HS/NGÀY SINH</x:v>
      </x:c>
      <x:c r="M10" s="83" t="str">
        <x:v>PreKids 0</x:v>
      </x:c>
      <x:c r="N10" s="83" t="str">
        <x:v>ôn hè</x:v>
      </x:c>
    </x:row>
    <x:row r="11">
      <x:c r="A11" s="83" t="n">
        <x:v>7</x:v>
      </x:c>
      <x:c r="B11" s="95" t="str"/>
      <x:c r="C11" s="83" t="str">
        <x:v>Minh Khôi</x:v>
      </x:c>
      <x:c r="D11" s="83" t="str">
        <x:v>Minh Khôi</x:v>
      </x:c>
      <x:c r="E11" s="83" t="str"/>
      <x:c r="F11" s="83" t="str">
        <x:v>Tiền tiểu học 1</x:v>
      </x:c>
      <x:c r="G11" s="83" t="str">
        <x:v>Tiền tiểu học</x:v>
      </x:c>
      <x:c r="H11" s="85" t="n">
        <x:v>46175</x:v>
      </x:c>
      <x:c r="I11" s="97" t="str"/>
      <x:c r="J11" s="91" t="str"/>
      <x:c r="K11" s="83" t="str">
        <x:v>Đang/đã học</x:v>
      </x:c>
      <x:c r="L11" s="83" t="str">
        <x:f>IF(AND(B11&lt;&gt;"",D11&lt;&gt;"",I11&lt;&gt;""),"SẴN SÀNG","THIẾU MÃ HS/NGÀY SINH")</x:f>
        <x:v>THIẾU MÃ HS/NGÀY SINH</x:v>
      </x:c>
      <x:c r="M11" s="83" t="str">
        <x:v>PreKids 1</x:v>
      </x:c>
      <x:c r="N11" s="83" t="str"/>
    </x:row>
    <x:row r="12">
      <x:c r="A12" s="83" t="n">
        <x:v>8</x:v>
      </x:c>
      <x:c r="B12" s="95" t="str"/>
      <x:c r="C12" s="83" t="str">
        <x:v>Đức Anh (Shin)</x:v>
      </x:c>
      <x:c r="D12" s="83" t="str">
        <x:v>Đức Anh</x:v>
      </x:c>
      <x:c r="E12" s="83" t="str">
        <x:v>Shin</x:v>
      </x:c>
      <x:c r="F12" s="83" t="str">
        <x:v>Tiền tiểu học 1</x:v>
      </x:c>
      <x:c r="G12" s="83" t="str">
        <x:v>Tiền tiểu học</x:v>
      </x:c>
      <x:c r="H12" s="85" t="n">
        <x:v>46177</x:v>
      </x:c>
      <x:c r="I12" s="97" t="str"/>
      <x:c r="J12" s="91" t="str"/>
      <x:c r="K12" s="83" t="str">
        <x:v>Đang/đã học</x:v>
      </x:c>
      <x:c r="L12" s="83" t="str">
        <x:f>IF(AND(B12&lt;&gt;"",D12&lt;&gt;"",I12&lt;&gt;""),"SẴN SÀNG","THIẾU MÃ HS/NGÀY SINH")</x:f>
        <x:v>THIẾU MÃ HS/NGÀY SINH</x:v>
      </x:c>
      <x:c r="M12" s="83" t="str">
        <x:v>PreKids 1</x:v>
      </x:c>
      <x:c r="N12" s="83" t="str"/>
    </x:row>
    <x:row r="13">
      <x:c r="A13" s="83" t="n">
        <x:v>9</x:v>
      </x:c>
      <x:c r="B13" s="95" t="str"/>
      <x:c r="C13" s="83" t="str">
        <x:v>Quân Boong</x:v>
      </x:c>
      <x:c r="D13" s="83" t="str">
        <x:v>Quân Boong</x:v>
      </x:c>
      <x:c r="E13" s="83" t="str"/>
      <x:c r="F13" s="83" t="str">
        <x:v>Tiền tiểu học 2</x:v>
      </x:c>
      <x:c r="G13" s="83" t="str">
        <x:v>Tiền tiểu học</x:v>
      </x:c>
      <x:c r="H13" s="85" t="n">
        <x:v>46174</x:v>
      </x:c>
      <x:c r="I13" s="97" t="str"/>
      <x:c r="J13" s="91" t="str"/>
      <x:c r="K13" s="83" t="str">
        <x:v>Đang/đã học</x:v>
      </x:c>
      <x:c r="L13" s="83" t="str">
        <x:f>IF(AND(B13&lt;&gt;"",D13&lt;&gt;"",I13&lt;&gt;""),"SẴN SÀNG","THIẾU MÃ HS/NGÀY SINH")</x:f>
        <x:v>THIẾU MÃ HS/NGÀY SINH</x:v>
      </x:c>
      <x:c r="M13" s="83" t="str">
        <x:v>PreKids 2</x:v>
      </x:c>
      <x:c r="N13" s="83" t="str"/>
    </x:row>
    <x:row r="14">
      <x:c r="A14" s="83" t="n">
        <x:v>10</x:v>
      </x:c>
      <x:c r="B14" s="95" t="str"/>
      <x:c r="C14" s="83" t="str">
        <x:v>Minh Quang (Gấu)</x:v>
      </x:c>
      <x:c r="D14" s="83" t="str">
        <x:v>Minh Quang</x:v>
      </x:c>
      <x:c r="E14" s="83" t="str">
        <x:v>Gấu</x:v>
      </x:c>
      <x:c r="F14" s="83" t="str">
        <x:v>Tiền tiểu học 2</x:v>
      </x:c>
      <x:c r="G14" s="83" t="str">
        <x:v>Tiền tiểu học</x:v>
      </x:c>
      <x:c r="H14" s="85" t="n">
        <x:v>46181</x:v>
      </x:c>
      <x:c r="I14" s="97" t="str"/>
      <x:c r="J14" s="91" t="str"/>
      <x:c r="K14" s="83" t="str">
        <x:v>Đang/đã học</x:v>
      </x:c>
      <x:c r="L14" s="83" t="str">
        <x:f>IF(AND(B14&lt;&gt;"",D14&lt;&gt;"",I14&lt;&gt;""),"SẴN SÀNG","THIẾU MÃ HS/NGÀY SINH")</x:f>
        <x:v>THIẾU MÃ HS/NGÀY SINH</x:v>
      </x:c>
      <x:c r="M14" s="83" t="str">
        <x:v>PreKids 2</x:v>
      </x:c>
      <x:c r="N14" s="83" t="str"/>
    </x:row>
    <x:row r="15">
      <x:c r="A15" s="83" t="n">
        <x:v>11</x:v>
      </x:c>
      <x:c r="B15" s="95" t="str"/>
      <x:c r="C15" s="83" t="str">
        <x:v>Nguyễn Minh Anh</x:v>
      </x:c>
      <x:c r="D15" s="83" t="str">
        <x:v>Nguyễn Minh Anh</x:v>
      </x:c>
      <x:c r="E15" s="83" t="str"/>
      <x:c r="F15" s="83" t="str">
        <x:v>Tiền tiểu học 3</x:v>
      </x:c>
      <x:c r="G15" s="83" t="str">
        <x:v>Tiền tiểu học</x:v>
      </x:c>
      <x:c r="H15" s="85" t="n">
        <x:v>46174</x:v>
      </x:c>
      <x:c r="I15" s="97" t="str"/>
      <x:c r="J15" s="91" t="str"/>
      <x:c r="K15" s="83" t="str">
        <x:v>Đang/đã học</x:v>
      </x:c>
      <x:c r="L15" s="83" t="str">
        <x:f>IF(AND(B15&lt;&gt;"",D15&lt;&gt;"",I15&lt;&gt;""),"SẴN SÀNG","THIẾU MÃ HS/NGÀY SINH")</x:f>
        <x:v>THIẾU MÃ HS/NGÀY SINH</x:v>
      </x:c>
      <x:c r="M15" s="83" t="str">
        <x:v>PreKids 3</x:v>
      </x:c>
      <x:c r="N15" s="83" t="str"/>
    </x:row>
    <x:row r="16">
      <x:c r="A16" s="83" t="n">
        <x:v>12</x:v>
      </x:c>
      <x:c r="B16" s="95" t="str"/>
      <x:c r="C16" s="83" t="str">
        <x:v>Minh Khang (ôn hè)</x:v>
      </x:c>
      <x:c r="D16" s="83" t="str">
        <x:v>Minh Khang</x:v>
      </x:c>
      <x:c r="E16" s="83" t="str"/>
      <x:c r="F16" s="83" t="str">
        <x:v>Tiền tiểu học 4</x:v>
      </x:c>
      <x:c r="G16" s="83" t="str">
        <x:v>Tiền tiểu học</x:v>
      </x:c>
      <x:c r="H16" s="85" t="n">
        <x:v>46192</x:v>
      </x:c>
      <x:c r="I16" s="97" t="str"/>
      <x:c r="J16" s="91" t="str">
        <x:v>Nhóm: ôn hè</x:v>
      </x:c>
      <x:c r="K16" s="83" t="str">
        <x:v>Đang/đã học</x:v>
      </x:c>
      <x:c r="L16" s="83" t="str">
        <x:f>IF(AND(B16&lt;&gt;"",D16&lt;&gt;"",I16&lt;&gt;""),"SẴN SÀNG","THIẾU MÃ HS/NGÀY SINH")</x:f>
        <x:v>THIẾU MÃ HS/NGÀY SINH</x:v>
      </x:c>
      <x:c r="M16" s="83" t="str">
        <x:v>PreKids 4</x:v>
      </x:c>
      <x:c r="N16" s="83" t="str">
        <x:v>ôn hè</x:v>
      </x:c>
    </x:row>
    <x:row r="17">
      <x:c r="A17" s="83" t="n">
        <x:v>13</x:v>
      </x:c>
      <x:c r="B17" s="95" t="str"/>
      <x:c r="C17" s="83" t="str">
        <x:v>Phương My (Sữa)</x:v>
      </x:c>
      <x:c r="D17" s="83" t="str">
        <x:v>Phương My</x:v>
      </x:c>
      <x:c r="E17" s="83" t="str">
        <x:v>Sữa</x:v>
      </x:c>
      <x:c r="F17" s="83" t="str">
        <x:v>Tiền tiểu học 5</x:v>
      </x:c>
      <x:c r="G17" s="83" t="str">
        <x:v>Tiền tiểu học</x:v>
      </x:c>
      <x:c r="H17" s="85" t="n">
        <x:v>46176</x:v>
      </x:c>
      <x:c r="I17" s="97" t="str"/>
      <x:c r="J17" s="91" t="str"/>
      <x:c r="K17" s="83" t="str">
        <x:v>Đang/đã học</x:v>
      </x:c>
      <x:c r="L17" s="83" t="str">
        <x:f>IF(AND(B17&lt;&gt;"",D17&lt;&gt;"",I17&lt;&gt;""),"SẴN SÀNG","THIẾU MÃ HS/NGÀY SINH")</x:f>
        <x:v>THIẾU MÃ HS/NGÀY SINH</x:v>
      </x:c>
      <x:c r="M17" s="83" t="str">
        <x:v>PreKids 5</x:v>
      </x:c>
      <x:c r="N17" s="83" t="str"/>
    </x:row>
    <x:row r="18">
      <x:c r="A18" s="83" t="n">
        <x:v>14</x:v>
      </x:c>
      <x:c r="B18" s="95" t="str"/>
      <x:c r="C18" s="83" t="str">
        <x:v>Kem</x:v>
      </x:c>
      <x:c r="D18" s="83" t="str">
        <x:v>Kem</x:v>
      </x:c>
      <x:c r="E18" s="83" t="str"/>
      <x:c r="F18" s="83" t="str">
        <x:v>Tiền tiểu học 6</x:v>
      </x:c>
      <x:c r="G18" s="83" t="str">
        <x:v>Tiền tiểu học</x:v>
      </x:c>
      <x:c r="H18" s="85" t="n">
        <x:v>46175</x:v>
      </x:c>
      <x:c r="I18" s="97" t="str"/>
      <x:c r="J18" s="91" t="str">
        <x:v>Tên gọi ngắn; cần bổ sung họ tên đầy đủ.</x:v>
      </x:c>
      <x:c r="K18" s="83" t="str">
        <x:v>Đang/đã học</x:v>
      </x:c>
      <x:c r="L18" s="83" t="str">
        <x:f>IF(AND(B18&lt;&gt;"",D18&lt;&gt;"",I18&lt;&gt;""),"SẴN SÀNG","THIẾU MÃ HS/NGÀY SINH")</x:f>
        <x:v>THIẾU MÃ HS/NGÀY SINH</x:v>
      </x:c>
      <x:c r="M18" s="83" t="str">
        <x:v>PreKids 6</x:v>
      </x:c>
      <x:c r="N18" s="83" t="str"/>
    </x:row>
    <x:row r="19">
      <x:c r="A19" s="83" t="n">
        <x:v>15</x:v>
      </x:c>
      <x:c r="B19" s="95" t="str"/>
      <x:c r="C19" s="83" t="str">
        <x:v>Quang Vinh</x:v>
      </x:c>
      <x:c r="D19" s="83" t="str">
        <x:v>Quang Vinh</x:v>
      </x:c>
      <x:c r="E19" s="83" t="str"/>
      <x:c r="F19" s="83" t="str">
        <x:v>Tiền tiểu học 7</x:v>
      </x:c>
      <x:c r="G19" s="83" t="str">
        <x:v>Tiền tiểu học</x:v>
      </x:c>
      <x:c r="H19" s="85" t="n">
        <x:v>46176</x:v>
      </x:c>
      <x:c r="I19" s="97" t="str"/>
      <x:c r="J19" s="91" t="str"/>
      <x:c r="K19" s="83" t="str">
        <x:v>Đang/đã học</x:v>
      </x:c>
      <x:c r="L19" s="83" t="str">
        <x:f>IF(AND(B19&lt;&gt;"",D19&lt;&gt;"",I19&lt;&gt;""),"SẴN SÀNG","THIẾU MÃ HS/NGÀY SINH")</x:f>
        <x:v>THIẾU MÃ HS/NGÀY SINH</x:v>
      </x:c>
      <x:c r="M19" s="83" t="str">
        <x:v>PreKids 7</x:v>
      </x:c>
      <x:c r="N19" s="83" t="str"/>
    </x:row>
    <x:row r="20">
      <x:c r="A20" s="83" t="n">
        <x:v>16</x:v>
      </x:c>
      <x:c r="B20" s="95" t="str"/>
      <x:c r="C20" s="83" t="str">
        <x:v>Nguyên Đậu</x:v>
      </x:c>
      <x:c r="D20" s="83" t="str">
        <x:v>Nguyên Đậu</x:v>
      </x:c>
      <x:c r="E20" s="83" t="str"/>
      <x:c r="F20" s="83" t="str">
        <x:v>Tiền tiểu học 8</x:v>
      </x:c>
      <x:c r="G20" s="83" t="str">
        <x:v>Tiền tiểu học</x:v>
      </x:c>
      <x:c r="H20" s="85" t="n">
        <x:v>46176</x:v>
      </x:c>
      <x:c r="I20" s="97" t="str"/>
      <x:c r="J20" s="91" t="str"/>
      <x:c r="K20" s="83" t="str">
        <x:v>Đang/đã học</x:v>
      </x:c>
      <x:c r="L20" s="83" t="str">
        <x:f>IF(AND(B20&lt;&gt;"",D20&lt;&gt;"",I20&lt;&gt;""),"SẴN SÀNG","THIẾU MÃ HS/NGÀY SINH")</x:f>
        <x:v>THIẾU MÃ HS/NGÀY SINH</x:v>
      </x:c>
      <x:c r="M20" s="83" t="str">
        <x:v>PreKids 8</x:v>
      </x:c>
      <x:c r="N20" s="83" t="str"/>
    </x:row>
    <x:row r="21">
      <x:c r="A21" s="83" t="n">
        <x:v>17</x:v>
      </x:c>
      <x:c r="B21" s="95" t="str"/>
      <x:c r="C21" s="83" t="str">
        <x:v>Nguyễn Minh Ngọc</x:v>
      </x:c>
      <x:c r="D21" s="83" t="str">
        <x:v>Nguyễn Minh Ngọc</x:v>
      </x:c>
      <x:c r="E21" s="83" t="str"/>
      <x:c r="F21" s="83" t="str">
        <x:v>Tiền tiểu học 9</x:v>
      </x:c>
      <x:c r="G21" s="83" t="str">
        <x:v>Tiền tiểu học</x:v>
      </x:c>
      <x:c r="H21" s="85" t="n">
        <x:v>46178</x:v>
      </x:c>
      <x:c r="I21" s="97" t="str"/>
      <x:c r="J21" s="91" t="str"/>
      <x:c r="K21" s="83" t="str">
        <x:v>Đang/đã học</x:v>
      </x:c>
      <x:c r="L21" s="83" t="str">
        <x:f>IF(AND(B21&lt;&gt;"",D21&lt;&gt;"",I21&lt;&gt;""),"SẴN SÀNG","THIẾU MÃ HS/NGÀY SINH")</x:f>
        <x:v>THIẾU MÃ HS/NGÀY SINH</x:v>
      </x:c>
      <x:c r="M21" s="83" t="str">
        <x:v>PreKids 9</x:v>
      </x:c>
      <x:c r="N21" s="83" t="str"/>
    </x:row>
    <x:row r="22">
      <x:c r="A22" s="83" t="n">
        <x:v>18</x:v>
      </x:c>
      <x:c r="B22" s="95" t="str"/>
      <x:c r="C22" s="83" t="str">
        <x:v>Cherry</x:v>
      </x:c>
      <x:c r="D22" s="83" t="str">
        <x:v>Cherry</x:v>
      </x:c>
      <x:c r="E22" s="83" t="str"/>
      <x:c r="F22" s="83" t="str">
        <x:v>Tiền tiểu học 10</x:v>
      </x:c>
      <x:c r="G22" s="83" t="str">
        <x:v>Tiền tiểu học</x:v>
      </x:c>
      <x:c r="H22" s="85" t="n">
        <x:v>46228</x:v>
      </x:c>
      <x:c r="I22" s="97" t="str"/>
      <x:c r="J22" s="91" t="str">
        <x:v>Tên gọi ngắn; cần bổ sung họ tên đầy đủ.</x:v>
      </x:c>
      <x:c r="K22" s="83" t="str">
        <x:v>Đang/đã học</x:v>
      </x:c>
      <x:c r="L22" s="83" t="str">
        <x:f>IF(AND(B22&lt;&gt;"",D22&lt;&gt;"",I22&lt;&gt;""),"SẴN SÀNG","THIẾU MÃ HS/NGÀY SINH")</x:f>
        <x:v>THIẾU MÃ HS/NGÀY SINH</x:v>
      </x:c>
      <x:c r="M22" s="83" t="str">
        <x:v>PreKids 10</x:v>
      </x:c>
      <x:c r="N22" s="83" t="str"/>
    </x:row>
    <x:row r="23">
      <x:c r="A23" s="83" t="n">
        <x:v>19</x:v>
      </x:c>
      <x:c r="B23" s="95" t="str"/>
      <x:c r="C23" s="83" t="str">
        <x:v>Trần Quốc Bảo</x:v>
      </x:c>
      <x:c r="D23" s="83" t="str">
        <x:v>Trần Quốc Bảo</x:v>
      </x:c>
      <x:c r="E23" s="83" t="str"/>
      <x:c r="F23" s="83" t="str">
        <x:v>Luyện chữ đẹp 1</x:v>
      </x:c>
      <x:c r="G23" s="83" t="str">
        <x:v>Luyện chữ đẹp</x:v>
      </x:c>
      <x:c r="H23" s="85" t="n">
        <x:v>46174</x:v>
      </x:c>
      <x:c r="I23" s="97" t="str"/>
      <x:c r="J23" s="91" t="str"/>
      <x:c r="K23" s="83" t="str">
        <x:v>Đang/đã học</x:v>
      </x:c>
      <x:c r="L23" s="83" t="str">
        <x:f>IF(AND(B23&lt;&gt;"",D23&lt;&gt;"",I23&lt;&gt;""),"SẴN SÀNG","THIẾU MÃ HS/NGÀY SINH")</x:f>
        <x:v>THIẾU MÃ HS/NGÀY SINH</x:v>
      </x:c>
      <x:c r="M23" s="83" t="str">
        <x:v>Luyện chữ hè 1</x:v>
      </x:c>
      <x:c r="N23" s="83" t="str"/>
    </x:row>
    <x:row r="24">
      <x:c r="A24" s="83" t="n">
        <x:v>20</x:v>
      </x:c>
      <x:c r="B24" s="95" t="str"/>
      <x:c r="C24" s="83" t="str">
        <x:v>Trịnh Ngọc Gia Hân</x:v>
      </x:c>
      <x:c r="D24" s="83" t="str">
        <x:v>Trịnh Ngọc Gia Hân</x:v>
      </x:c>
      <x:c r="E24" s="83" t="str"/>
      <x:c r="F24" s="83" t="str">
        <x:v>Luyện chữ đẹp 1</x:v>
      </x:c>
      <x:c r="G24" s="83" t="str">
        <x:v>Luyện chữ đẹp</x:v>
      </x:c>
      <x:c r="H24" s="85" t="n">
        <x:v>46204</x:v>
      </x:c>
      <x:c r="I24" s="97" t="str"/>
      <x:c r="J24" s="91" t="str"/>
      <x:c r="K24" s="83" t="str">
        <x:v>Đang/đã học</x:v>
      </x:c>
      <x:c r="L24" s="83" t="str">
        <x:f>IF(AND(B24&lt;&gt;"",D24&lt;&gt;"",I24&lt;&gt;""),"SẴN SÀNG","THIẾU MÃ HS/NGÀY SINH")</x:f>
        <x:v>THIẾU MÃ HS/NGÀY SINH</x:v>
      </x:c>
      <x:c r="M24" s="83" t="str">
        <x:v>Luyện chữ hè 1</x:v>
      </x:c>
      <x:c r="N24" s="83" t="str"/>
    </x:row>
    <x:row r="25">
      <x:c r="A25" s="83" t="n">
        <x:v>21</x:v>
      </x:c>
      <x:c r="B25" s="95" t="str"/>
      <x:c r="C25" s="83" t="str">
        <x:v>Nguyễn Nam Khang</x:v>
      </x:c>
      <x:c r="D25" s="83" t="str">
        <x:v>Nguyễn Nam Khang</x:v>
      </x:c>
      <x:c r="E25" s="83" t="str"/>
      <x:c r="F25" s="83" t="str">
        <x:v>Luyện chữ đẹp 1</x:v>
      </x:c>
      <x:c r="G25" s="83" t="str">
        <x:v>Luyện chữ đẹp</x:v>
      </x:c>
      <x:c r="H25" s="85" t="n">
        <x:v>46174</x:v>
      </x:c>
      <x:c r="I25" s="97" t="str"/>
      <x:c r="J25" s="91" t="str"/>
      <x:c r="K25" s="83" t="str">
        <x:v>Đang/đã học</x:v>
      </x:c>
      <x:c r="L25" s="83" t="str">
        <x:f>IF(AND(B25&lt;&gt;"",D25&lt;&gt;"",I25&lt;&gt;""),"SẴN SÀNG","THIẾU MÃ HS/NGÀY SINH")</x:f>
        <x:v>THIẾU MÃ HS/NGÀY SINH</x:v>
      </x:c>
      <x:c r="M25" s="83" t="str">
        <x:v>Luyện chữ hè 1</x:v>
      </x:c>
      <x:c r="N25" s="83" t="str"/>
    </x:row>
    <x:row r="26">
      <x:c r="A26" s="83" t="n">
        <x:v>22</x:v>
      </x:c>
      <x:c r="B26" s="95" t="str"/>
      <x:c r="C26" s="83" t="str">
        <x:v>Trần Đức Khôi</x:v>
      </x:c>
      <x:c r="D26" s="83" t="str">
        <x:v>Trần Đức Khôi</x:v>
      </x:c>
      <x:c r="E26" s="83" t="str"/>
      <x:c r="F26" s="83" t="str">
        <x:v>Luyện chữ đẹp 1</x:v>
      </x:c>
      <x:c r="G26" s="83" t="str">
        <x:v>Luyện chữ đẹp</x:v>
      </x:c>
      <x:c r="H26" s="85" t="n">
        <x:v>46174</x:v>
      </x:c>
      <x:c r="I26" s="97" t="str"/>
      <x:c r="J26" s="91" t="str"/>
      <x:c r="K26" s="83" t="str">
        <x:v>Đang/đã học</x:v>
      </x:c>
      <x:c r="L26" s="83" t="str">
        <x:f>IF(AND(B26&lt;&gt;"",D26&lt;&gt;"",I26&lt;&gt;""),"SẴN SÀNG","THIẾU MÃ HS/NGÀY SINH")</x:f>
        <x:v>THIẾU MÃ HS/NGÀY SINH</x:v>
      </x:c>
      <x:c r="M26" s="83" t="str">
        <x:v>Luyện chữ hè 1</x:v>
      </x:c>
      <x:c r="N26" s="83" t="str"/>
    </x:row>
    <x:row r="27">
      <x:c r="A27" s="83" t="n">
        <x:v>23</x:v>
      </x:c>
      <x:c r="B27" s="95" t="str"/>
      <x:c r="C27" s="83" t="str">
        <x:v>Vũ Nhật Minh</x:v>
      </x:c>
      <x:c r="D27" s="83" t="str">
        <x:v>Vũ Nhật Minh</x:v>
      </x:c>
      <x:c r="E27" s="83" t="str"/>
      <x:c r="F27" s="83" t="str">
        <x:v>Luyện chữ đẹp 2</x:v>
      </x:c>
      <x:c r="G27" s="83" t="str">
        <x:v>Luyện chữ đẹp</x:v>
      </x:c>
      <x:c r="H27" s="85" t="n">
        <x:v>46175</x:v>
      </x:c>
      <x:c r="I27" s="97" t="str"/>
      <x:c r="J27" s="91" t="str"/>
      <x:c r="K27" s="83" t="str">
        <x:v>Đang/đã học</x:v>
      </x:c>
      <x:c r="L27" s="83" t="str">
        <x:f>IF(AND(B27&lt;&gt;"",D27&lt;&gt;"",I27&lt;&gt;""),"SẴN SÀNG","THIẾU MÃ HS/NGÀY SINH")</x:f>
        <x:v>THIẾU MÃ HS/NGÀY SINH</x:v>
      </x:c>
      <x:c r="M27" s="83" t="str">
        <x:v>Luyện chữ hè 2</x:v>
      </x:c>
      <x:c r="N27" s="83" t="str"/>
    </x:row>
    <x:row r="28">
      <x:c r="A28" s="83" t="n">
        <x:v>24</x:v>
      </x:c>
      <x:c r="B28" s="95" t="str"/>
      <x:c r="C28" s="83" t="str">
        <x:v>Vũ Tú Anh</x:v>
      </x:c>
      <x:c r="D28" s="83" t="str">
        <x:v>Vũ Tú Anh</x:v>
      </x:c>
      <x:c r="E28" s="83" t="str"/>
      <x:c r="F28" s="83" t="str">
        <x:v>Luyện chữ đẹp 2</x:v>
      </x:c>
      <x:c r="G28" s="83" t="str">
        <x:v>Luyện chữ đẹp</x:v>
      </x:c>
      <x:c r="H28" s="85" t="n">
        <x:v>46175</x:v>
      </x:c>
      <x:c r="I28" s="97" t="str"/>
      <x:c r="J28" s="91" t="str"/>
      <x:c r="K28" s="83" t="str">
        <x:v>Đang/đã học</x:v>
      </x:c>
      <x:c r="L28" s="83" t="str">
        <x:f>IF(AND(B28&lt;&gt;"",D28&lt;&gt;"",I28&lt;&gt;""),"SẴN SÀNG","THIẾU MÃ HS/NGÀY SINH")</x:f>
        <x:v>THIẾU MÃ HS/NGÀY SINH</x:v>
      </x:c>
      <x:c r="M28" s="83" t="str">
        <x:v>Luyện chữ hè 2</x:v>
      </x:c>
      <x:c r="N28" s="83" t="str"/>
    </x:row>
    <x:row r="29">
      <x:c r="A29" s="83" t="n">
        <x:v>25</x:v>
      </x:c>
      <x:c r="B29" s="95" t="str"/>
      <x:c r="C29" s="83" t="str">
        <x:v>Phùng Minh Quang</x:v>
      </x:c>
      <x:c r="D29" s="83" t="str">
        <x:v>Phùng Minh Quang</x:v>
      </x:c>
      <x:c r="E29" s="83" t="str"/>
      <x:c r="F29" s="83" t="str">
        <x:v>Luyện chữ đẹp 2</x:v>
      </x:c>
      <x:c r="G29" s="83" t="str">
        <x:v>Luyện chữ đẹp</x:v>
      </x:c>
      <x:c r="H29" s="85" t="n">
        <x:v>46175</x:v>
      </x:c>
      <x:c r="I29" s="97" t="str"/>
      <x:c r="J29" s="91" t="str"/>
      <x:c r="K29" s="83" t="str">
        <x:v>Đang/đã học</x:v>
      </x:c>
      <x:c r="L29" s="83" t="str">
        <x:f>IF(AND(B29&lt;&gt;"",D29&lt;&gt;"",I29&lt;&gt;""),"SẴN SÀNG","THIẾU MÃ HS/NGÀY SINH")</x:f>
        <x:v>THIẾU MÃ HS/NGÀY SINH</x:v>
      </x:c>
      <x:c r="M29" s="83" t="str">
        <x:v>Luyện chữ hè 2</x:v>
      </x:c>
      <x:c r="N29" s="83" t="str"/>
    </x:row>
    <x:row r="30">
      <x:c r="A30" s="83" t="n">
        <x:v>26</x:v>
      </x:c>
      <x:c r="B30" s="95" t="str"/>
      <x:c r="C30" s="83" t="str">
        <x:v>Duy Đăng</x:v>
      </x:c>
      <x:c r="D30" s="83" t="str">
        <x:v>Duy Đăng</x:v>
      </x:c>
      <x:c r="E30" s="83" t="str"/>
      <x:c r="F30" s="83" t="str">
        <x:v>Luyện chữ đẹp 3</x:v>
      </x:c>
      <x:c r="G30" s="83" t="str">
        <x:v>Luyện chữ đẹp</x:v>
      </x:c>
      <x:c r="H30" s="85"/>
      <x:c r="I30" s="97" t="str"/>
      <x:c r="J30" s="91" t="str">
        <x:v>Nguồn ghi chưa học.</x:v>
      </x:c>
      <x:c r="K30" s="83" t="str">
        <x:v>Chưa học</x:v>
      </x:c>
      <x:c r="L30" s="83" t="str">
        <x:f>IF(AND(B30&lt;&gt;"",D30&lt;&gt;"",I30&lt;&gt;""),"SẴN SÀNG","THIẾU MÃ HS/NGÀY SINH")</x:f>
        <x:v>THIẾU MÃ HS/NGÀY SINH</x:v>
      </x:c>
      <x:c r="M30" s="83" t="str">
        <x:v>Luyện chữ hè 3</x:v>
      </x:c>
      <x:c r="N30" s="83" t="str"/>
    </x:row>
    <x:row r="31">
      <x:c r="A31" s="83" t="n">
        <x:v>27</x:v>
      </x:c>
      <x:c r="B31" s="95" t="str"/>
      <x:c r="C31" s="83" t="str">
        <x:v>Nguyễn Quỳnh Trang</x:v>
      </x:c>
      <x:c r="D31" s="83" t="str">
        <x:v>Nguyễn Quỳnh Trang</x:v>
      </x:c>
      <x:c r="E31" s="83" t="str"/>
      <x:c r="F31" s="83" t="str">
        <x:v>Luyện chữ đẹp 3</x:v>
      </x:c>
      <x:c r="G31" s="83" t="str">
        <x:v>Luyện chữ đẹp</x:v>
      </x:c>
      <x:c r="H31" s="85" t="n">
        <x:v>46230</x:v>
      </x:c>
      <x:c r="I31" s="97" t="str"/>
      <x:c r="J31" s="91" t="str"/>
      <x:c r="K31" s="83" t="str">
        <x:v>Đang/đã học</x:v>
      </x:c>
      <x:c r="L31" s="83" t="str">
        <x:f>IF(AND(B31&lt;&gt;"",D31&lt;&gt;"",I31&lt;&gt;""),"SẴN SÀNG","THIẾU MÃ HS/NGÀY SINH")</x:f>
        <x:v>THIẾU MÃ HS/NGÀY SINH</x:v>
      </x:c>
      <x:c r="M31" s="83" t="str">
        <x:v>Luyện chữ hè 3</x:v>
      </x:c>
      <x:c r="N31" s="83" t="str"/>
    </x:row>
    <x:row r="32">
      <x:c r="A32" s="83" t="n">
        <x:v>28</x:v>
      </x:c>
      <x:c r="B32" s="95" t="str"/>
      <x:c r="C32" s="83" t="str">
        <x:v>Kenry</x:v>
      </x:c>
      <x:c r="D32" s="83" t="str">
        <x:v>Kenry</x:v>
      </x:c>
      <x:c r="E32" s="83" t="str"/>
      <x:c r="F32" s="83" t="str">
        <x:v>Luyện chữ đẹp 4</x:v>
      </x:c>
      <x:c r="G32" s="83" t="str">
        <x:v>Luyện chữ đẹp</x:v>
      </x:c>
      <x:c r="H32" s="85"/>
      <x:c r="I32" s="97" t="str"/>
      <x:c r="J32" s="91" t="str">
        <x:v>Tên gọi ngắn; cần bổ sung họ tên đầy đủ.</x:v>
      </x:c>
      <x:c r="K32" s="83" t="str">
        <x:v>Đang/đã học</x:v>
      </x:c>
      <x:c r="L32" s="83" t="str">
        <x:f>IF(AND(B32&lt;&gt;"",D32&lt;&gt;"",I32&lt;&gt;""),"SẴN SÀNG","THIẾU MÃ HS/NGÀY SINH")</x:f>
        <x:v>THIẾU MÃ HS/NGÀY SINH</x:v>
      </x:c>
      <x:c r="M32" s="83" t="str">
        <x:v>Luyện chữ hè 4</x:v>
      </x:c>
      <x:c r="N32" s="83" t="str"/>
    </x:row>
    <x:row r="33">
      <x:c r="A33" s="83" t="n">
        <x:v>29</x:v>
      </x:c>
      <x:c r="B33" s="95" t="str"/>
      <x:c r="C33" s="83" t="str">
        <x:v>Ngọc Châu</x:v>
      </x:c>
      <x:c r="D33" s="83" t="str">
        <x:v>Ngọc Châu</x:v>
      </x:c>
      <x:c r="E33" s="83" t="str"/>
      <x:c r="F33" s="83" t="str">
        <x:v>Luyện chữ đẹp 5</x:v>
      </x:c>
      <x:c r="G33" s="83" t="str">
        <x:v>Luyện chữ đẹp</x:v>
      </x:c>
      <x:c r="H33" s="85" t="n">
        <x:v>46176</x:v>
      </x:c>
      <x:c r="I33" s="97" t="str"/>
      <x:c r="J33" s="91" t="str"/>
      <x:c r="K33" s="83" t="str">
        <x:v>Đang/đã học</x:v>
      </x:c>
      <x:c r="L33" s="83" t="str">
        <x:f>IF(AND(B33&lt;&gt;"",D33&lt;&gt;"",I33&lt;&gt;""),"SẴN SÀNG","THIẾU MÃ HS/NGÀY SINH")</x:f>
        <x:v>THIẾU MÃ HS/NGÀY SINH</x:v>
      </x:c>
      <x:c r="M33" s="83" t="str">
        <x:v>Luyện chữ hè 5</x:v>
      </x:c>
      <x:c r="N33" s="83" t="str"/>
    </x:row>
    <x:row r="34">
      <x:c r="A34" s="83" t="n">
        <x:v>30</x:v>
      </x:c>
      <x:c r="B34" s="95" t="str"/>
      <x:c r="C34" s="83" t="str">
        <x:v>Vũ Quang Hùng</x:v>
      </x:c>
      <x:c r="D34" s="83" t="str">
        <x:v>Vũ Quang Hùng</x:v>
      </x:c>
      <x:c r="E34" s="83" t="str"/>
      <x:c r="F34" s="83" t="str">
        <x:v>Luyện chữ đẹp 6</x:v>
      </x:c>
      <x:c r="G34" s="83" t="str">
        <x:v>Luyện chữ đẹp</x:v>
      </x:c>
      <x:c r="H34" s="85" t="n">
        <x:v>46176</x:v>
      </x:c>
      <x:c r="I34" s="97" t="str"/>
      <x:c r="J34" s="91" t="str"/>
      <x:c r="K34" s="83" t="str">
        <x:v>Đang/đã học</x:v>
      </x:c>
      <x:c r="L34" s="83" t="str">
        <x:f>IF(AND(B34&lt;&gt;"",D34&lt;&gt;"",I34&lt;&gt;""),"SẴN SÀNG","THIẾU MÃ HS/NGÀY SINH")</x:f>
        <x:v>THIẾU MÃ HS/NGÀY SINH</x:v>
      </x:c>
      <x:c r="M34" s="83" t="str">
        <x:v>Luyện chữ hè 6</x:v>
      </x:c>
      <x:c r="N34" s="83" t="str"/>
    </x:row>
  </x:sheetData>
  <x:mergeCells>
    <x:mergeCell ref="A1:N1"/>
    <x:mergeCell ref="A2:N2"/>
  </x:mergeCells>
  <x:conditionalFormatting sqref="L5:L34">
    <x:cfRule type="containsText" dxfId="4" priority="1" operator="containsText" text="THIẾU"/>
  </x:conditionalFormatting>
  <x:pageMargins left="0.7" right="0.7" top="0.75" bottom="0.75" header="0.3" footer="0.3"/>
  <x:tableParts count="1">
    <x:tablePart xmlns:r="http://schemas.openxmlformats.org/officeDocument/2006/relationships" r:id="R323a977418594c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5" hidden="0" customWidth="1"/>
    <x:col min="3" max="3" width="15" hidden="0" customWidth="1"/>
    <x:col min="4" max="4" width="15" hidden="0" customWidth="1"/>
    <x:col min="5" max="5" width="14.380000114440918" hidden="0" customWidth="1"/>
    <x:col min="6" max="6" width="13.130000114440918" hidden="0" customWidth="1"/>
    <x:col min="7" max="7" width="15.630000114440918" hidden="0" customWidth="1"/>
    <x:col min="8" max="8" width="12.5" hidden="0" customWidth="1"/>
    <x:col min="9" max="9" width="12.5" hidden="0" customWidth="1"/>
    <x:col min="10" max="10" width="11.25" hidden="0" customWidth="1"/>
    <x:col min="11" max="11" width="38.75" hidden="0" customWidth="1"/>
    <x:col min="12" max="12" width="16.8799991607666" hidden="0" customWidth="1"/>
    <x:col min="13" max="13" width="20" hidden="0" customWidth="1"/>
  </x:cols>
  <x:sheetData>
    <x:row r="1" ht="34" customHeight="1">
      <x:c r="A1" s="3" t="str">
        <x:v>  KHÓA HỌC CẦN TẠO TRƯỚC</x:v>
      </x:c>
      <x:c r="B1" s="3" t="str">
        <x:v>  KHÓA HỌC CẦN TẠO TRƯỚC</x:v>
      </x:c>
      <x:c r="C1" s="3" t="str">
        <x:v>  KHÓA HỌC CẦN TẠO TRƯỚC</x:v>
      </x:c>
      <x:c r="D1" s="3" t="str">
        <x:v>  KHÓA HỌC CẦN TẠO TRƯỚC</x:v>
      </x:c>
      <x:c r="E1" s="3" t="str">
        <x:v>  KHÓA HỌC CẦN TẠO TRƯỚC</x:v>
      </x:c>
      <x:c r="F1" s="3" t="str">
        <x:v>  KHÓA HỌC CẦN TẠO TRƯỚC</x:v>
      </x:c>
      <x:c r="G1" s="3" t="str">
        <x:v>  KHÓA HỌC CẦN TẠO TRƯỚC</x:v>
      </x:c>
      <x:c r="H1" s="3" t="str">
        <x:v>  KHÓA HỌC CẦN TẠO TRƯỚC</x:v>
      </x:c>
      <x:c r="I1" s="3" t="str">
        <x:v>  KHÓA HỌC CẦN TẠO TRƯỚC</x:v>
      </x:c>
      <x:c r="J1" s="3" t="str">
        <x:v>  KHÓA HỌC CẦN TẠO TRƯỚC</x:v>
      </x:c>
      <x:c r="K1" s="3" t="str">
        <x:v>  KHÓA HỌC CẦN TẠO TRƯỚC</x:v>
      </x:c>
      <x:c r="L1" s="3" t="str">
        <x:v>  KHÓA HỌC CẦN TẠO TRƯỚC</x:v>
      </x:c>
      <x:c r="M1" s="3" t="str">
        <x:v>  KHÓA HỌC CẦN TẠO TRƯỚC</x:v>
      </x:c>
    </x:row>
    <x:row r="2" ht="34" customHeight="1">
      <x:c r="A2" s="7" t="str">
        <x:v>ClassDoc tham chiếu courseId, vì vậy phải tạo khóa học và môn học trước khi tạo lớp.</x:v>
      </x:c>
      <x:c r="B2" s="7" t="str">
        <x:v>ClassDoc tham chiếu courseId, vì vậy phải tạo khóa học và môn học trước khi tạo lớp.</x:v>
      </x:c>
      <x:c r="C2" s="7" t="str">
        <x:v>ClassDoc tham chiếu courseId, vì vậy phải tạo khóa học và môn học trước khi tạo lớp.</x:v>
      </x:c>
      <x:c r="D2" s="7" t="str">
        <x:v>ClassDoc tham chiếu courseId, vì vậy phải tạo khóa học và môn học trước khi tạo lớp.</x:v>
      </x:c>
      <x:c r="E2" s="7" t="str">
        <x:v>ClassDoc tham chiếu courseId, vì vậy phải tạo khóa học và môn học trước khi tạo lớp.</x:v>
      </x:c>
      <x:c r="F2" s="7" t="str">
        <x:v>ClassDoc tham chiếu courseId, vì vậy phải tạo khóa học và môn học trước khi tạo lớp.</x:v>
      </x:c>
      <x:c r="G2" s="7" t="str">
        <x:v>ClassDoc tham chiếu courseId, vì vậy phải tạo khóa học và môn học trước khi tạo lớp.</x:v>
      </x:c>
      <x:c r="H2" s="7" t="str">
        <x:v>ClassDoc tham chiếu courseId, vì vậy phải tạo khóa học và môn học trước khi tạo lớp.</x:v>
      </x:c>
      <x:c r="I2" s="7" t="str">
        <x:v>ClassDoc tham chiếu courseId, vì vậy phải tạo khóa học và môn học trước khi tạo lớp.</x:v>
      </x:c>
      <x:c r="J2" s="7" t="str">
        <x:v>ClassDoc tham chiếu courseId, vì vậy phải tạo khóa học và môn học trước khi tạo lớp.</x:v>
      </x:c>
      <x:c r="K2" s="7" t="str">
        <x:v>ClassDoc tham chiếu courseId, vì vậy phải tạo khóa học và môn học trước khi tạo lớp.</x:v>
      </x:c>
      <x:c r="L2" s="7" t="str">
        <x:v>ClassDoc tham chiếu courseId, vì vậy phải tạo khóa học và môn học trước khi tạo lớp.</x:v>
      </x:c>
      <x:c r="M2" s="7" t="str">
        <x:v>ClassDoc tham chiếu courseId, vì vậy phải tạo khóa học và môn học trước khi tạo lớp.</x:v>
      </x:c>
    </x:row>
    <x:row r="4" ht="30" customHeight="1">
      <x:c r="A4" s="16" t="str">
        <x:v>name*</x:v>
      </x:c>
      <x:c r="B4" s="38" t="str">
        <x:v>courseId</x:v>
      </x:c>
      <x:c r="C4" s="38" t="str">
        <x:v>subjectIds*</x:v>
      </x:c>
      <x:c r="D4" s="38" t="str">
        <x:v>teacherIds*</x:v>
      </x:c>
      <x:c r="E4" s="38" t="str">
        <x:v>pricePerSession*</x:v>
      </x:c>
      <x:c r="F4" s="38" t="str">
        <x:v>totalSessions*</x:v>
      </x:c>
      <x:c r="G4" s="38" t="str">
        <x:v>tuitionFee (công thức)</x:v>
      </x:c>
      <x:c r="H4" s="38" t="str">
        <x:v>startDate*</x:v>
      </x:c>
      <x:c r="I4" s="38" t="str">
        <x:v>endDate*</x:v>
      </x:c>
      <x:c r="J4" s="38" t="str">
        <x:v>status*</x:v>
      </x:c>
      <x:c r="K4" s="38" t="str">
        <x:v>Thiếu dữ liệu</x:v>
      </x:c>
      <x:c r="L4" s="38" t="str">
        <x:v>Sẵn sàng</x:v>
      </x:c>
      <x:c r="M4" s="17" t="str">
        <x:v>Ghi chú</x:v>
      </x:c>
    </x:row>
    <x:row r="5" ht="38" customHeight="1">
      <x:c r="A5" s="82" t="str">
        <x:v>Tiền tiểu học 2026</x:v>
      </x:c>
      <x:c r="B5" s="82" t="str"/>
      <x:c r="C5" s="94" t="str"/>
      <x:c r="D5" s="94" t="str"/>
      <x:c r="E5" s="98"/>
      <x:c r="F5" s="98"/>
      <x:c r="G5" s="99" t="str">
        <x:f>IF(OR(E5="",F5=""),"",E5*F5)</x:f>
      </x:c>
      <x:c r="H5" s="92" t="n">
        <x:v>46174</x:v>
      </x:c>
      <x:c r="I5" s="102"/>
      <x:c r="J5" s="82" t="str">
        <x:v>draft</x:v>
      </x:c>
      <x:c r="K5" s="90" t="str">
        <x:v>subjectIds, teacherIds, học phí/buổi, tổng số buổi, ngày kết thúc</x:v>
      </x:c>
      <x:c r="L5" s="90" t="str">
        <x:f>IF(AND(A5&lt;&gt;"",C5&lt;&gt;"",D5&lt;&gt;"",E5&lt;&gt;"",F5&lt;&gt;"",H5&lt;&gt;"",I5&lt;&gt;""),"SẴN SÀNG","CHƯA SẴN SÀNG")</x:f>
        <x:v>CHƯA SẴN SÀNG</x:v>
      </x:c>
      <x:c r="M5" s="90" t="str">
        <x:v>Tên chuẩn từ PreKids</x:v>
      </x:c>
    </x:row>
    <x:row r="6" ht="38" customHeight="1">
      <x:c r="A6" s="83" t="str">
        <x:v>Luyện chữ đẹp 2026</x:v>
      </x:c>
      <x:c r="B6" s="83" t="str"/>
      <x:c r="C6" s="95" t="str"/>
      <x:c r="D6" s="95" t="str"/>
      <x:c r="E6" s="100"/>
      <x:c r="F6" s="100"/>
      <x:c r="G6" s="101" t="str">
        <x:f>IF(OR(E6="",F6=""),"",E6*F6)</x:f>
      </x:c>
      <x:c r="H6" s="93" t="n">
        <x:v>46174</x:v>
      </x:c>
      <x:c r="I6" s="103"/>
      <x:c r="J6" s="83" t="str">
        <x:v>draft</x:v>
      </x:c>
      <x:c r="K6" s="91" t="str">
        <x:v>subjectIds, teacherIds, học phí/buổi, tổng số buổi, ngày kết thúc</x:v>
      </x:c>
      <x:c r="L6" s="91" t="str">
        <x:f>IF(AND(A6&lt;&gt;"",C6&lt;&gt;"",D6&lt;&gt;"",E6&lt;&gt;"",F6&lt;&gt;"",H6&lt;&gt;"",I6&lt;&gt;""),"SẴN SÀNG","CHƯA SẴN SÀNG")</x:f>
        <x:v>CHƯA SẴN SÀNG</x:v>
      </x:c>
      <x:c r="M6" s="91" t="str">
        <x:v>Tên chuẩn từ Luyện chữ hè</x:v>
      </x:c>
    </x:row>
  </x:sheetData>
  <x:mergeCells>
    <x:mergeCell ref="A1:M1"/>
    <x:mergeCell ref="A2:M2"/>
  </x:mergeCells>
  <x:conditionalFormatting sqref="L5:L6">
    <x:cfRule type="containsText" dxfId="5" priority="1" operator="containsText" text="CHƯA"/>
  </x:conditionalFormatting>
  <x:dataValidations count="1">
    <x:dataValidation type="list" sqref="J5:J6">
      <x:formula1>"draft,active,completed"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ac80f928fb4e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8.75" hidden="0" customWidth="1"/>
    <x:col min="3" max="3" width="19.3799991607666" hidden="0" customWidth="1"/>
    <x:col min="4" max="4" width="12.5" hidden="0" customWidth="1"/>
    <x:col min="5" max="5" width="27.5" hidden="0" customWidth="1"/>
    <x:col min="6" max="6" width="30" hidden="0" customWidth="1"/>
    <x:col min="7" max="7" width="38.75" hidden="0" customWidth="1"/>
  </x:cols>
  <x:sheetData>
    <x:row r="1" ht="34" customHeight="1">
      <x:c r="A1" s="3" t="str">
        <x:v>  ĐỐI CHIẾU VỚI CODEBASE EDUMATRIX</x:v>
      </x:c>
      <x:c r="B1" s="3" t="str">
        <x:v>  ĐỐI CHIẾU VỚI CODEBASE EDUMATRIX</x:v>
      </x:c>
      <x:c r="C1" s="3" t="str">
        <x:v>  ĐỐI CHIẾU VỚI CODEBASE EDUMATRIX</x:v>
      </x:c>
      <x:c r="D1" s="3" t="str">
        <x:v>  ĐỐI CHIẾU VỚI CODEBASE EDUMATRIX</x:v>
      </x:c>
      <x:c r="E1" s="3" t="str">
        <x:v>  ĐỐI CHIẾU VỚI CODEBASE EDUMATRIX</x:v>
      </x:c>
      <x:c r="F1" s="3" t="str">
        <x:v>  ĐỐI CHIẾU VỚI CODEBASE EDUMATRIX</x:v>
      </x:c>
      <x:c r="G1" s="3" t="str">
        <x:v>  ĐỐI CHIẾU VỚI CODEBASE EDUMATRIX</x:v>
      </x:c>
    </x:row>
    <x:row r="2" ht="34" customHeight="1">
      <x:c r="A2" s="7" t="str">
        <x:v>Các trường dưới đây lấy từ schema/type/service hiện tại; đường dẫn giúp truy vết khi chuẩn bị import.</x:v>
      </x:c>
      <x:c r="B2" s="7" t="str">
        <x:v>Các trường dưới đây lấy từ schema/type/service hiện tại; đường dẫn giúp truy vết khi chuẩn bị import.</x:v>
      </x:c>
      <x:c r="C2" s="7" t="str">
        <x:v>Các trường dưới đây lấy từ schema/type/service hiện tại; đường dẫn giúp truy vết khi chuẩn bị import.</x:v>
      </x:c>
      <x:c r="D2" s="7" t="str">
        <x:v>Các trường dưới đây lấy từ schema/type/service hiện tại; đường dẫn giúp truy vết khi chuẩn bị import.</x:v>
      </x:c>
      <x:c r="E2" s="7" t="str">
        <x:v>Các trường dưới đây lấy từ schema/type/service hiện tại; đường dẫn giúp truy vết khi chuẩn bị import.</x:v>
      </x:c>
      <x:c r="F2" s="7" t="str">
        <x:v>Các trường dưới đây lấy từ schema/type/service hiện tại; đường dẫn giúp truy vết khi chuẩn bị import.</x:v>
      </x:c>
      <x:c r="G2" s="7" t="str">
        <x:v>Các trường dưới đây lấy từ schema/type/service hiện tại; đường dẫn giúp truy vết khi chuẩn bị import.</x:v>
      </x:c>
    </x:row>
    <x:row r="4" ht="30" customHeight="1">
      <x:c r="A4" s="16" t="str">
        <x:v>Đối tượng</x:v>
      </x:c>
      <x:c r="B4" s="38" t="str">
        <x:v>Trường hệ thống</x:v>
      </x:c>
      <x:c r="C4" s="38" t="str">
        <x:v>Bắt buộc</x:v>
      </x:c>
      <x:c r="D4" s="38" t="str">
        <x:v>Có trong nguồn</x:v>
      </x:c>
      <x:c r="E4" s="38" t="str">
        <x:v>Nguồn/giá trị</x:v>
      </x:c>
      <x:c r="F4" s="38" t="str">
        <x:v>Hành động</x:v>
      </x:c>
      <x:c r="G4" s="17" t="str">
        <x:v>Tham chiếu codebase</x:v>
      </x:c>
    </x:row>
    <x:row r="5" ht="28" customHeight="1">
      <x:c r="A5" s="82" t="str">
        <x:v>CourseDoc</x:v>
      </x:c>
      <x:c r="B5" s="82" t="str">
        <x:v>name</x:v>
      </x:c>
      <x:c r="C5" s="104" t="str">
        <x:v>Có</x:v>
      </x:c>
      <x:c r="D5" s="104" t="str">
        <x:v>Có</x:v>
      </x:c>
      <x:c r="E5" s="90" t="str">
        <x:v>Tiền tiểu học / Luyện chữ đẹp</x:v>
      </x:c>
      <x:c r="F5" s="90" t="str">
        <x:v>Chuẩn hóa tên chương trình</x:v>
      </x:c>
      <x:c r="G5" s="90" t="str">
        <x:v>src/schemas/course.ts; src/types/academic.ts</x:v>
      </x:c>
    </x:row>
    <x:row r="6" ht="28" customHeight="1">
      <x:c r="A6" s="83" t="str">
        <x:v>CourseDoc</x:v>
      </x:c>
      <x:c r="B6" s="83" t="str">
        <x:v>subjectIds</x:v>
      </x:c>
      <x:c r="C6" s="105" t="str">
        <x:v>Có</x:v>
      </x:c>
      <x:c r="D6" s="105" t="str">
        <x:v>Không</x:v>
      </x:c>
      <x:c r="E6" s="91" t="str"/>
      <x:c r="F6" s="91" t="str">
        <x:v>Tạo/chọn môn học thật</x:v>
      </x:c>
      <x:c r="G6" s="91" t="str">
        <x:v>src/schemas/course.ts</x:v>
      </x:c>
    </x:row>
    <x:row r="7" ht="28" customHeight="1">
      <x:c r="A7" s="83" t="str">
        <x:v>CourseDoc</x:v>
      </x:c>
      <x:c r="B7" s="83" t="str">
        <x:v>teacherIds</x:v>
      </x:c>
      <x:c r="C7" s="105" t="str">
        <x:v>Có</x:v>
      </x:c>
      <x:c r="D7" s="105" t="str">
        <x:v>Không</x:v>
      </x:c>
      <x:c r="E7" s="91" t="str"/>
      <x:c r="F7" s="91" t="str">
        <x:v>Chọn giáo viên phụ trách</x:v>
      </x:c>
      <x:c r="G7" s="91" t="str">
        <x:v>src/schemas/course.ts</x:v>
      </x:c>
    </x:row>
    <x:row r="8" ht="28" customHeight="1">
      <x:c r="A8" s="83" t="str">
        <x:v>CourseDoc</x:v>
      </x:c>
      <x:c r="B8" s="83" t="str">
        <x:v>pricePerSession</x:v>
      </x:c>
      <x:c r="C8" s="105" t="str">
        <x:v>Có</x:v>
      </x:c>
      <x:c r="D8" s="105" t="str">
        <x:v>Không</x:v>
      </x:c>
      <x:c r="E8" s="91" t="str"/>
      <x:c r="F8" s="91" t="str">
        <x:v>Nhập số nguyên VND</x:v>
      </x:c>
      <x:c r="G8" s="91" t="str">
        <x:v>src/schemas/course.ts</x:v>
      </x:c>
    </x:row>
    <x:row r="9" ht="28" customHeight="1">
      <x:c r="A9" s="83" t="str">
        <x:v>CourseDoc</x:v>
      </x:c>
      <x:c r="B9" s="83" t="str">
        <x:v>totalSessions</x:v>
      </x:c>
      <x:c r="C9" s="105" t="str">
        <x:v>Có</x:v>
      </x:c>
      <x:c r="D9" s="105" t="str">
        <x:v>Không</x:v>
      </x:c>
      <x:c r="E9" s="91" t="str"/>
      <x:c r="F9" s="91" t="str">
        <x:v>Chốt tổng số buổi</x:v>
      </x:c>
      <x:c r="G9" s="91" t="str">
        <x:v>src/schemas/course.ts</x:v>
      </x:c>
    </x:row>
    <x:row r="10" ht="28" customHeight="1">
      <x:c r="A10" s="83" t="str">
        <x:v>CourseDoc</x:v>
      </x:c>
      <x:c r="B10" s="83" t="str">
        <x:v>startDate/endDate</x:v>
      </x:c>
      <x:c r="C10" s="105" t="str">
        <x:v>Có</x:v>
      </x:c>
      <x:c r="D10" s="105" t="str">
        <x:v>Một phần</x:v>
      </x:c>
      <x:c r="E10" s="91" t="str">
        <x:v>Có ngày bắt đầu, thiếu ngày kết thúc</x:v>
      </x:c>
      <x:c r="F10" s="91" t="str">
        <x:v>Bổ sung ngày kết thúc</x:v>
      </x:c>
      <x:c r="G10" s="91" t="str">
        <x:v>src/schemas/course.ts</x:v>
      </x:c>
    </x:row>
    <x:row r="11" ht="28" customHeight="1">
      <x:c r="A11" s="83" t="str">
        <x:v>ClassDoc</x:v>
      </x:c>
      <x:c r="B11" s="83" t="str">
        <x:v>name</x:v>
      </x:c>
      <x:c r="C11" s="105" t="str">
        <x:v>Có</x:v>
      </x:c>
      <x:c r="D11" s="105" t="str">
        <x:v>Có</x:v>
      </x:c>
      <x:c r="E11" s="91" t="str">
        <x:v>Tên lớp đã chuẩn hóa</x:v>
      </x:c>
      <x:c r="F11" s="91" t="str">
        <x:v>Dùng sheet Classes_System</x:v>
      </x:c>
      <x:c r="G11" s="91" t="str">
        <x:v>src/schemas/class.ts</x:v>
      </x:c>
    </x:row>
    <x:row r="12" ht="28" customHeight="1">
      <x:c r="A12" s="83" t="str">
        <x:v>ClassDoc</x:v>
      </x:c>
      <x:c r="B12" s="83" t="str">
        <x:v>courseId</x:v>
      </x:c>
      <x:c r="C12" s="105" t="str">
        <x:v>Có</x:v>
      </x:c>
      <x:c r="D12" s="105" t="str">
        <x:v>Không</x:v>
      </x:c>
      <x:c r="E12" s="91" t="str"/>
      <x:c r="F12" s="91" t="str">
        <x:v>Tạo khóa học trước, lấy ID thật</x:v>
      </x:c>
      <x:c r="G12" s="91" t="str">
        <x:v>src/schemas/class.ts</x:v>
      </x:c>
    </x:row>
    <x:row r="13" ht="28" customHeight="1">
      <x:c r="A13" s="83" t="str">
        <x:v>ClassDoc</x:v>
      </x:c>
      <x:c r="B13" s="83" t="str">
        <x:v>subjectIds</x:v>
      </x:c>
      <x:c r="C13" s="105" t="str">
        <x:v>Có</x:v>
      </x:c>
      <x:c r="D13" s="105" t="str">
        <x:v>Không</x:v>
      </x:c>
      <x:c r="E13" s="91" t="str"/>
      <x:c r="F13" s="91" t="str">
        <x:v>Chọn ít nhất 1 môn thuộc khóa</x:v>
      </x:c>
      <x:c r="G13" s="91" t="str">
        <x:v>src/schemas/class.ts</x:v>
      </x:c>
    </x:row>
    <x:row r="14" ht="28" customHeight="1">
      <x:c r="A14" s="83" t="str">
        <x:v>ClassDoc</x:v>
      </x:c>
      <x:c r="B14" s="83" t="str">
        <x:v>teacherIds</x:v>
      </x:c>
      <x:c r="C14" s="105" t="str">
        <x:v>Mặc định [] nhưng cần phân công</x:v>
      </x:c>
      <x:c r="D14" s="105" t="str">
        <x:v>Không</x:v>
      </x:c>
      <x:c r="E14" s="91" t="str"/>
      <x:c r="F14" s="91" t="str">
        <x:v>Gán giáo viên thật</x:v>
      </x:c>
      <x:c r="G14" s="91" t="str">
        <x:v>src/features/classes/components/ClassForm.tsx</x:v>
      </x:c>
    </x:row>
    <x:row r="15" ht="28" customHeight="1">
      <x:c r="A15" s="83" t="str">
        <x:v>ClassDoc</x:v>
      </x:c>
      <x:c r="B15" s="83" t="str">
        <x:v>studentIds</x:v>
      </x:c>
      <x:c r="C15" s="105" t="str">
        <x:v>Hệ thống quản lý qua enrollment</x:v>
      </x:c>
      <x:c r="D15" s="105" t="str">
        <x:v>Có danh sách tên</x:v>
      </x:c>
      <x:c r="E15" s="91" t="str">
        <x:v>30 học viên</x:v>
      </x:c>
      <x:c r="F15" s="91" t="str">
        <x:v>Tạo HS rồi ghi danh, không ghi trực tiếp</x:v>
      </x:c>
      <x:c r="G15" s="91" t="str">
        <x:v>src/services/firestore/classes.ts</x:v>
      </x:c>
    </x:row>
    <x:row r="16" ht="28" customHeight="1">
      <x:c r="A16" s="83" t="str">
        <x:v>ClassDoc</x:v>
      </x:c>
      <x:c r="B16" s="83" t="str">
        <x:v>scheduleText</x:v>
      </x:c>
      <x:c r="C16" s="105" t="str">
        <x:v>Không</x:v>
      </x:c>
      <x:c r="D16" s="105" t="str">
        <x:v>Có một phần</x:v>
      </x:c>
      <x:c r="E16" s="91" t="str">
        <x:v>Ngày học; 4 lớp có giờ rõ</x:v>
      </x:c>
      <x:c r="F16" s="91" t="str">
        <x:v>Bổ sung giờ cho các lớp còn lại</x:v>
      </x:c>
      <x:c r="G16" s="91" t="str">
        <x:v>src/schemas/class.ts</x:v>
      </x:c>
    </x:row>
    <x:row r="17" ht="28" customHeight="1">
      <x:c r="A17" s="83" t="str">
        <x:v>ClassDoc</x:v>
      </x:c>
      <x:c r="B17" s="83" t="str">
        <x:v>location</x:v>
      </x:c>
      <x:c r="C17" s="105" t="str">
        <x:v>Không</x:v>
      </x:c>
      <x:c r="D17" s="105" t="str">
        <x:v>Không</x:v>
      </x:c>
      <x:c r="E17" s="91" t="str"/>
      <x:c r="F17" s="91" t="str">
        <x:v>Bổ sung Zoom/phòng học nếu cần</x:v>
      </x:c>
      <x:c r="G17" s="91" t="str">
        <x:v>src/schemas/class.ts</x:v>
      </x:c>
    </x:row>
    <x:row r="18" ht="28" customHeight="1">
      <x:c r="A18" s="83" t="str">
        <x:v>ClassDoc</x:v>
      </x:c>
      <x:c r="B18" s="83" t="str">
        <x:v>status</x:v>
      </x:c>
      <x:c r="C18" s="105" t="str">
        <x:v>Có</x:v>
      </x:c>
      <x:c r="D18" s="105" t="str">
        <x:v>Suy ra</x:v>
      </x:c>
      <x:c r="E18" s="91" t="str">
        <x:v>active</x:v>
      </x:c>
      <x:c r="F18" s="91" t="str">
        <x:v>Xác nhận lớp chờ/chưa học</x:v>
      </x:c>
      <x:c r="G18" s="91" t="str">
        <x:v>src/schemas/class.ts</x:v>
      </x:c>
    </x:row>
    <x:row r="19" ht="28" customHeight="1">
      <x:c r="A19" s="83" t="str">
        <x:v>Recurrence</x:v>
      </x:c>
      <x:c r="B19" s="83" t="str">
        <x:v>daysOfWeek</x:v>
      </x:c>
      <x:c r="C19" s="105" t="str">
        <x:v>Có khi tạo lịch thông minh</x:v>
      </x:c>
      <x:c r="D19" s="105" t="str">
        <x:v>Có một phần</x:v>
      </x:c>
      <x:c r="E19" s="91" t="str">
        <x:v>0=CN…6=T7</x:v>
      </x:c>
      <x:c r="F19" s="91" t="str">
        <x:v>Đã đổi T2…T7 sang số</x:v>
      </x:c>
      <x:c r="G19" s="91" t="str">
        <x:v>src/types/academic.ts</x:v>
      </x:c>
    </x:row>
    <x:row r="20" ht="28" customHeight="1">
      <x:c r="A20" s="83" t="str">
        <x:v>Recurrence</x:v>
      </x:c>
      <x:c r="B20" s="83" t="str">
        <x:v>startTime/endTime</x:v>
      </x:c>
      <x:c r="C20" s="105" t="str">
        <x:v>Có khi tạo lịch thông minh</x:v>
      </x:c>
      <x:c r="D20" s="105" t="str">
        <x:v>4/17 lớp</x:v>
      </x:c>
      <x:c r="E20" s="91" t="str">
        <x:v>08:30–10:00; 19:45–21:00</x:v>
      </x:c>
      <x:c r="F20" s="91" t="str">
        <x:v>Bổ sung các lớp còn thiếu</x:v>
      </x:c>
      <x:c r="G20" s="91" t="str">
        <x:v>src/features/classes/components/ClassForm.tsx</x:v>
      </x:c>
    </x:row>
    <x:row r="21" ht="28" customHeight="1">
      <x:c r="A21" s="83" t="str">
        <x:v>Recurrence</x:v>
      </x:c>
      <x:c r="B21" s="83" t="str">
        <x:v>sessionCount</x:v>
      </x:c>
      <x:c r="C21" s="105" t="str">
        <x:v>Có khi tạo lịch thông minh</x:v>
      </x:c>
      <x:c r="D21" s="105" t="str">
        <x:v>Không</x:v>
      </x:c>
      <x:c r="E21" s="91" t="str"/>
      <x:c r="F21" s="91" t="str">
        <x:v>Chốt tổng số buổi</x:v>
      </x:c>
      <x:c r="G21" s="91" t="str">
        <x:v>src/features/classes/components/ClassForm.tsx</x:v>
      </x:c>
    </x:row>
    <x:row r="22" ht="28" customHeight="1">
      <x:c r="A22" s="83" t="str">
        <x:v>StudentDoc</x:v>
      </x:c>
      <x:c r="B22" s="83" t="str">
        <x:v>studentCode</x:v>
      </x:c>
      <x:c r="C22" s="105" t="str">
        <x:v>Có</x:v>
      </x:c>
      <x:c r="D22" s="105" t="str">
        <x:v>Không</x:v>
      </x:c>
      <x:c r="E22" s="91" t="str"/>
      <x:c r="F22" s="91" t="str">
        <x:v>Cấp mã HS duy nhất</x:v>
      </x:c>
      <x:c r="G22" s="91" t="str">
        <x:v>src/schemas/student.ts</x:v>
      </x:c>
    </x:row>
    <x:row r="23" ht="28" customHeight="1">
      <x:c r="A23" s="83" t="str">
        <x:v>StudentDoc</x:v>
      </x:c>
      <x:c r="B23" s="83" t="str">
        <x:v>fullName</x:v>
      </x:c>
      <x:c r="C23" s="105" t="str">
        <x:v>Có</x:v>
      </x:c>
      <x:c r="D23" s="105" t="str">
        <x:v>Có một phần</x:v>
      </x:c>
      <x:c r="E23" s="91" t="str">
        <x:v>Một số chỉ là tên gọi</x:v>
      </x:c>
      <x:c r="F23" s="91" t="str">
        <x:v>Xác minh Kem/Cherry/Kenry</x:v>
      </x:c>
      <x:c r="G23" s="91" t="str">
        <x:v>src/schemas/student.ts</x:v>
      </x:c>
    </x:row>
    <x:row r="24" ht="28" customHeight="1">
      <x:c r="A24" s="83" t="str">
        <x:v>StudentDoc</x:v>
      </x:c>
      <x:c r="B24" s="83" t="str">
        <x:v>nickname</x:v>
      </x:c>
      <x:c r="C24" s="105" t="str">
        <x:v>Không</x:v>
      </x:c>
      <x:c r="D24" s="105" t="str">
        <x:v>Có</x:v>
      </x:c>
      <x:c r="E24" s="91" t="str">
        <x:v>Nấm, Shin, Gấu, Sữa</x:v>
      </x:c>
      <x:c r="F24" s="91" t="str">
        <x:v>Đã tách khỏi họ tên</x:v>
      </x:c>
      <x:c r="G24" s="91" t="str">
        <x:v>src/types/academic.ts</x:v>
      </x:c>
    </x:row>
    <x:row r="25" ht="28" customHeight="1">
      <x:c r="A25" s="83" t="str">
        <x:v>StudentDoc</x:v>
      </x:c>
      <x:c r="B25" s="83" t="str">
        <x:v>dateOfBirth</x:v>
      </x:c>
      <x:c r="C25" s="105" t="str">
        <x:v>Có</x:v>
      </x:c>
      <x:c r="D25" s="105" t="str">
        <x:v>Không</x:v>
      </x:c>
      <x:c r="E25" s="91" t="str"/>
      <x:c r="F25" s="91" t="str">
        <x:v>Bổ sung ngày sinh</x:v>
      </x:c>
      <x:c r="G25" s="91" t="str">
        <x:v>src/schemas/student.ts</x:v>
      </x:c>
    </x:row>
  </x:sheetData>
  <x:mergeCells>
    <x:mergeCell ref="A1:G1"/>
    <x:mergeCell ref="A2:G2"/>
  </x:mergeCells>
  <x:conditionalFormatting sqref="D5:D25">
    <x:cfRule type="containsText" dxfId="6" priority="1" operator="containsText" text="Không"/>
    <x:cfRule type="containsText" dxfId="7" priority="2" operator="containsText" text="Một phần"/>
  </x:conditionalFormatting>
  <x:pageMargins left="0.7" right="0.7" top="0.75" bottom="0.75" header="0.3" footer="0.3"/>
  <x:tableParts count="1">
    <x:tablePart xmlns:r="http://schemas.openxmlformats.org/officeDocument/2006/relationships" r:id="R1e8102208fde46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22.5" hidden="0" customWidth="1"/>
    <x:col min="3" max="3" width="13.130000114440918" hidden="0" customWidth="1"/>
    <x:col min="4" max="4" width="8.75" hidden="0" customWidth="1"/>
    <x:col min="5" max="5" width="12.5" hidden="0" customWidth="1"/>
    <x:col min="6" max="6" width="7.5" hidden="0" customWidth="1"/>
    <x:col min="7" max="7" width="8.130000114440918" hidden="0" customWidth="1"/>
    <x:col min="8" max="8" width="42.5" hidden="0" customWidth="1"/>
    <x:col min="9" max="9" width="38.75" hidden="0" customWidth="1"/>
    <x:col min="10" max="10" width="17.5" hidden="0" customWidth="1"/>
  </x:cols>
  <x:sheetData>
    <x:row r="1" ht="34" customHeight="1">
      <x:c r="A1" s="3" t="str">
        <x:v>  DỮ LIỆU GỐC TỪ GOOGLE SHEET</x:v>
      </x:c>
      <x:c r="B1" s="3" t="str">
        <x:v>  DỮ LIỆU GỐC TỪ GOOGLE SHEET</x:v>
      </x:c>
      <x:c r="C1" s="3" t="str">
        <x:v>  DỮ LIỆU GỐC TỪ GOOGLE SHEET</x:v>
      </x:c>
      <x:c r="D1" s="3" t="str">
        <x:v>  DỮ LIỆU GỐC TỪ GOOGLE SHEET</x:v>
      </x:c>
      <x:c r="E1" s="3" t="str">
        <x:v>  DỮ LIỆU GỐC TỪ GOOGLE SHEET</x:v>
      </x:c>
      <x:c r="F1" s="3" t="str">
        <x:v>  DỮ LIỆU GỐC TỪ GOOGLE SHEET</x:v>
      </x:c>
      <x:c r="G1" s="3" t="str">
        <x:v>  DỮ LIỆU GỐC TỪ GOOGLE SHEET</x:v>
      </x:c>
      <x:c r="H1" s="3" t="str">
        <x:v>  DỮ LIỆU GỐC TỪ GOOGLE SHEET</x:v>
      </x:c>
      <x:c r="I1" s="3" t="str">
        <x:v>  DỮ LIỆU GỐC TỪ GOOGLE SHEET</x:v>
      </x:c>
      <x:c r="J1" s="3" t="str">
        <x:v>  DỮ LIỆU GỐC TỪ GOOGLE SHEET</x:v>
      </x:c>
    </x:row>
    <x:row r="2" ht="34" customHeight="1">
      <x:c r="A2" s="7" t="str">
        <x:v>Bản sao cấu trúc 17 nhóm lớp tại thời điểm xử lý; cột cuối để trống như nguồn.</x:v>
      </x:c>
      <x:c r="B2" s="7" t="str">
        <x:v>Bản sao cấu trúc 17 nhóm lớp tại thời điểm xử lý; cột cuối để trống như nguồn.</x:v>
      </x:c>
      <x:c r="C2" s="7" t="str">
        <x:v>Bản sao cấu trúc 17 nhóm lớp tại thời điểm xử lý; cột cuối để trống như nguồn.</x:v>
      </x:c>
      <x:c r="D2" s="7" t="str">
        <x:v>Bản sao cấu trúc 17 nhóm lớp tại thời điểm xử lý; cột cuối để trống như nguồn.</x:v>
      </x:c>
      <x:c r="E2" s="7" t="str">
        <x:v>Bản sao cấu trúc 17 nhóm lớp tại thời điểm xử lý; cột cuối để trống như nguồn.</x:v>
      </x:c>
      <x:c r="F2" s="7" t="str">
        <x:v>Bản sao cấu trúc 17 nhóm lớp tại thời điểm xử lý; cột cuối để trống như nguồn.</x:v>
      </x:c>
      <x:c r="G2" s="7" t="str">
        <x:v>Bản sao cấu trúc 17 nhóm lớp tại thời điểm xử lý; cột cuối để trống như nguồn.</x:v>
      </x:c>
      <x:c r="H2" s="7" t="str">
        <x:v>Bản sao cấu trúc 17 nhóm lớp tại thời điểm xử lý; cột cuối để trống như nguồn.</x:v>
      </x:c>
      <x:c r="I2" s="7" t="str">
        <x:v>Bản sao cấu trúc 17 nhóm lớp tại thời điểm xử lý; cột cuối để trống như nguồn.</x:v>
      </x:c>
      <x:c r="J2" s="7" t="str">
        <x:v>Bản sao cấu trúc 17 nhóm lớp tại thời điểm xử lý; cột cuối để trống như nguồn.</x:v>
      </x:c>
    </x:row>
    <x:row r="4" ht="30" customHeight="1">
      <x:c r="A4" s="16" t="str">
        <x:v>Chương trình</x:v>
      </x:c>
      <x:c r="B4" s="38" t="str">
        <x:v>Nhóm lớp / Ca học</x:v>
      </x:c>
      <x:c r="C4" s="38" t="str">
        <x:v>Time</x:v>
      </x:c>
      <x:c r="D4" s="38" t="str">
        <x:v>Ca</x:v>
      </x:c>
      <x:c r="E4" s="38" t="str">
        <x:v>Ngày khai giảng</x:v>
      </x:c>
      <x:c r="F4" s="38" t="str">
        <x:v>Thứ</x:v>
      </x:c>
      <x:c r="G4" s="38" t="str">
        <x:v>Số HV</x:v>
      </x:c>
      <x:c r="H4" s="38" t="str">
        <x:v>Danh sách học viên</x:v>
      </x:c>
      <x:c r="I4" s="38" t="str">
        <x:v>Ghi chú</x:v>
      </x:c>
      <x:c r="J4" s="17" t="str">
        <x:v>TỐI ƯU DỮ LIỆU</x:v>
      </x:c>
    </x:row>
    <x:row r="5">
      <x:c r="A5" s="82" t="str">
        <x:v>PreKids 0</x:v>
      </x:c>
      <x:c r="B5" s="82" t="str">
        <x:v>T3-T5</x:v>
      </x:c>
      <x:c r="C5" s="82" t="str"/>
      <x:c r="D5" s="82" t="str"/>
      <x:c r="E5" s="84" t="n">
        <x:v>46175</x:v>
      </x:c>
      <x:c r="F5" s="82" t="str">
        <x:v>T3</x:v>
      </x:c>
      <x:c r="G5" s="82" t="n">
        <x:v>6</x:v>
      </x:c>
      <x:c r="H5" s="90" t="str">
        <x:v>Bảo Anh (Nấm), Nguyễn Bảo Hà, Phạm Hà Dương, Hà Anh (ôn hè), Bảo Anh (ôn hè), Huyền Anh (ôn hè)</x:v>
      </x:c>
      <x:c r="I5" s="90" t="str">
        <x:v>Vào sau: Hà Anh (ôn hè): 9/6/2026; Bảo Anh (ôn hè): 9/6/2026; Huyền Anh (ôn hè): 18/6/2026</x:v>
      </x:c>
      <x:c r="J5" s="82" t="str"/>
    </x:row>
    <x:row r="6">
      <x:c r="A6" s="83" t="str">
        <x:v>PreKids 1</x:v>
      </x:c>
      <x:c r="B6" s="83" t="str">
        <x:v>T2-T3-T4-T5</x:v>
      </x:c>
      <x:c r="C6" s="83" t="str"/>
      <x:c r="D6" s="83" t="str"/>
      <x:c r="E6" s="85" t="n">
        <x:v>46175</x:v>
      </x:c>
      <x:c r="F6" s="83" t="str">
        <x:v>T3</x:v>
      </x:c>
      <x:c r="G6" s="83" t="n">
        <x:v>2</x:v>
      </x:c>
      <x:c r="H6" s="91" t="str">
        <x:v>Minh Khôi, Đức Anh (Shin)</x:v>
      </x:c>
      <x:c r="I6" s="91" t="str">
        <x:v>Vào sau: Đức Anh (Shin): 4/6/2026</x:v>
      </x:c>
      <x:c r="J6" s="83" t="str"/>
    </x:row>
    <x:row r="7">
      <x:c r="A7" s="83" t="str">
        <x:v>PreKids 2</x:v>
      </x:c>
      <x:c r="B7" s="83" t="str">
        <x:v>T2-T4</x:v>
      </x:c>
      <x:c r="C7" s="83" t="str"/>
      <x:c r="D7" s="83" t="str"/>
      <x:c r="E7" s="85" t="n">
        <x:v>46174</x:v>
      </x:c>
      <x:c r="F7" s="83" t="str">
        <x:v>T2</x:v>
      </x:c>
      <x:c r="G7" s="83" t="n">
        <x:v>2</x:v>
      </x:c>
      <x:c r="H7" s="91" t="str">
        <x:v>Quân Boong, Minh Quang (Gấu)</x:v>
      </x:c>
      <x:c r="I7" s="91" t="str">
        <x:v>Vào sau: Minh Quang (Gấu): 8/6/2026</x:v>
      </x:c>
      <x:c r="J7" s="83" t="str"/>
    </x:row>
    <x:row r="8">
      <x:c r="A8" s="83" t="str">
        <x:v>PreKids 3</x:v>
      </x:c>
      <x:c r="B8" s="83" t="str">
        <x:v>T2-T5</x:v>
      </x:c>
      <x:c r="C8" s="83" t="str"/>
      <x:c r="D8" s="83" t="str"/>
      <x:c r="E8" s="85" t="n">
        <x:v>46174</x:v>
      </x:c>
      <x:c r="F8" s="83" t="str">
        <x:v>T2</x:v>
      </x:c>
      <x:c r="G8" s="83" t="n">
        <x:v>1</x:v>
      </x:c>
      <x:c r="H8" s="91" t="str">
        <x:v>Nguyễn Minh Anh</x:v>
      </x:c>
      <x:c r="I8" s="91" t="str">
        <x:v>Cả nhóm bắt đầu cùng ngày</x:v>
      </x:c>
      <x:c r="J8" s="83" t="str"/>
    </x:row>
    <x:row r="9">
      <x:c r="A9" s="83" t="str">
        <x:v>PreKids 4</x:v>
      </x:c>
      <x:c r="B9" s="83" t="str">
        <x:v>T2-T6</x:v>
      </x:c>
      <x:c r="C9" s="83" t="str"/>
      <x:c r="D9" s="83" t="str"/>
      <x:c r="E9" s="85" t="n">
        <x:v>46192</x:v>
      </x:c>
      <x:c r="F9" s="83" t="str">
        <x:v>T6</x:v>
      </x:c>
      <x:c r="G9" s="83" t="n">
        <x:v>1</x:v>
      </x:c>
      <x:c r="H9" s="91" t="str">
        <x:v>Minh Khang (ôn hè)</x:v>
      </x:c>
      <x:c r="I9" s="91" t="str">
        <x:v>Cả nhóm bắt đầu cùng ngày</x:v>
      </x:c>
      <x:c r="J9" s="83" t="str"/>
    </x:row>
    <x:row r="10">
      <x:c r="A10" s="83" t="str">
        <x:v>PreKids 5</x:v>
      </x:c>
      <x:c r="B10" s="83" t="str">
        <x:v>T3-T4-T7</x:v>
      </x:c>
      <x:c r="C10" s="83" t="str"/>
      <x:c r="D10" s="83" t="str"/>
      <x:c r="E10" s="85" t="n">
        <x:v>46176</x:v>
      </x:c>
      <x:c r="F10" s="83" t="str">
        <x:v>T4</x:v>
      </x:c>
      <x:c r="G10" s="83" t="n">
        <x:v>1</x:v>
      </x:c>
      <x:c r="H10" s="91" t="str">
        <x:v>Phương My (Sữa)</x:v>
      </x:c>
      <x:c r="I10" s="91" t="str">
        <x:v>Cả nhóm bắt đầu cùng ngày</x:v>
      </x:c>
      <x:c r="J10" s="83" t="str"/>
    </x:row>
    <x:row r="11">
      <x:c r="A11" s="83" t="str">
        <x:v>PreKids 6</x:v>
      </x:c>
      <x:c r="B11" s="83" t="str">
        <x:v>T3-T5-T7</x:v>
      </x:c>
      <x:c r="C11" s="83" t="str"/>
      <x:c r="D11" s="83" t="str"/>
      <x:c r="E11" s="85" t="n">
        <x:v>46175</x:v>
      </x:c>
      <x:c r="F11" s="83" t="str">
        <x:v>T3</x:v>
      </x:c>
      <x:c r="G11" s="83" t="n">
        <x:v>1</x:v>
      </x:c>
      <x:c r="H11" s="91" t="str">
        <x:v>Kem</x:v>
      </x:c>
      <x:c r="I11" s="91" t="str">
        <x:v>Cả nhóm bắt đầu cùng ngày</x:v>
      </x:c>
      <x:c r="J11" s="83" t="str"/>
    </x:row>
    <x:row r="12">
      <x:c r="A12" s="83" t="str">
        <x:v>PreKids 7</x:v>
      </x:c>
      <x:c r="B12" s="83" t="str">
        <x:v>T4</x:v>
      </x:c>
      <x:c r="C12" s="83" t="str"/>
      <x:c r="D12" s="83" t="str"/>
      <x:c r="E12" s="85" t="n">
        <x:v>46176</x:v>
      </x:c>
      <x:c r="F12" s="83" t="str">
        <x:v>T4</x:v>
      </x:c>
      <x:c r="G12" s="83" t="n">
        <x:v>1</x:v>
      </x:c>
      <x:c r="H12" s="91" t="str">
        <x:v>Quang Vinh</x:v>
      </x:c>
      <x:c r="I12" s="91" t="str">
        <x:v>Cả nhóm bắt đầu cùng ngày</x:v>
      </x:c>
      <x:c r="J12" s="83" t="str"/>
    </x:row>
    <x:row r="13">
      <x:c r="A13" s="83" t="str">
        <x:v>PreKids 8</x:v>
      </x:c>
      <x:c r="B13" s="83" t="str">
        <x:v>T4-T6-T7</x:v>
      </x:c>
      <x:c r="C13" s="83" t="str"/>
      <x:c r="D13" s="83" t="str"/>
      <x:c r="E13" s="85" t="n">
        <x:v>46176</x:v>
      </x:c>
      <x:c r="F13" s="83" t="str">
        <x:v>T4</x:v>
      </x:c>
      <x:c r="G13" s="83" t="n">
        <x:v>1</x:v>
      </x:c>
      <x:c r="H13" s="91" t="str">
        <x:v>Nguyên Đậu</x:v>
      </x:c>
      <x:c r="I13" s="91" t="str">
        <x:v>Cả nhóm bắt đầu cùng ngày</x:v>
      </x:c>
      <x:c r="J13" s="83" t="str"/>
    </x:row>
    <x:row r="14">
      <x:c r="A14" s="83" t="str">
        <x:v>PreKids 9</x:v>
      </x:c>
      <x:c r="B14" s="83" t="str">
        <x:v>T6-T7</x:v>
      </x:c>
      <x:c r="C14" s="83" t="str"/>
      <x:c r="D14" s="83" t="str"/>
      <x:c r="E14" s="85" t="n">
        <x:v>46178</x:v>
      </x:c>
      <x:c r="F14" s="83" t="str">
        <x:v>T6</x:v>
      </x:c>
      <x:c r="G14" s="83" t="n">
        <x:v>1</x:v>
      </x:c>
      <x:c r="H14" s="91" t="str">
        <x:v>Nguyễn Minh Ngọc</x:v>
      </x:c>
      <x:c r="I14" s="91" t="str">
        <x:v>Cả nhóm bắt đầu cùng ngày</x:v>
      </x:c>
      <x:c r="J14" s="83" t="str"/>
    </x:row>
    <x:row r="15">
      <x:c r="A15" s="83" t="str">
        <x:v>PreKids 10</x:v>
      </x:c>
      <x:c r="B15" s="83" t="str">
        <x:v>T7</x:v>
      </x:c>
      <x:c r="C15" s="83" t="str"/>
      <x:c r="D15" s="83" t="str"/>
      <x:c r="E15" s="85" t="n">
        <x:v>46228</x:v>
      </x:c>
      <x:c r="F15" s="83" t="str">
        <x:v>T7</x:v>
      </x:c>
      <x:c r="G15" s="83" t="n">
        <x:v>1</x:v>
      </x:c>
      <x:c r="H15" s="91" t="str">
        <x:v>Cherry</x:v>
      </x:c>
      <x:c r="I15" s="91" t="str">
        <x:v>Cả nhóm bắt đầu cùng ngày</x:v>
      </x:c>
      <x:c r="J15" s="83" t="str"/>
    </x:row>
    <x:row r="16">
      <x:c r="A16" s="83" t="str">
        <x:v>Luyện chữ hè 1</x:v>
      </x:c>
      <x:c r="B16" s="83" t="str">
        <x:v>T2-T4 · 8h30-10h</x:v>
      </x:c>
      <x:c r="C16" s="83" t="str">
        <x:v>08:30-10:00</x:v>
      </x:c>
      <x:c r="D16" s="83" t="str">
        <x:v>Sáng</x:v>
      </x:c>
      <x:c r="E16" s="85" t="n">
        <x:v>46174</x:v>
      </x:c>
      <x:c r="F16" s="83" t="str">
        <x:v>T2</x:v>
      </x:c>
      <x:c r="G16" s="83" t="n">
        <x:v>4</x:v>
      </x:c>
      <x:c r="H16" s="91" t="str">
        <x:v>Trần Quốc Bảo, Trịnh Ngọc Gia Hân, Nguyễn Nam Khang, Trần Đức Khôi</x:v>
      </x:c>
      <x:c r="I16" s="91" t="str">
        <x:v>Vào sau: Trịnh Ngọc Gia Hân: 1/7/2026</x:v>
      </x:c>
      <x:c r="J16" s="83" t="str"/>
    </x:row>
    <x:row r="17">
      <x:c r="A17" s="83" t="str">
        <x:v>Luyện chữ hè 2</x:v>
      </x:c>
      <x:c r="B17" s="83" t="str">
        <x:v>T3-T5 · 8h30-10h</x:v>
      </x:c>
      <x:c r="C17" s="83" t="str">
        <x:v>08:30-10:00</x:v>
      </x:c>
      <x:c r="D17" s="83" t="str">
        <x:v>Sáng</x:v>
      </x:c>
      <x:c r="E17" s="85" t="n">
        <x:v>46175</x:v>
      </x:c>
      <x:c r="F17" s="83" t="str">
        <x:v>T3</x:v>
      </x:c>
      <x:c r="G17" s="83" t="n">
        <x:v>3</x:v>
      </x:c>
      <x:c r="H17" s="91" t="str">
        <x:v>Vũ Nhật Minh, Vũ Tú Anh, Phùng Minh Quang</x:v>
      </x:c>
      <x:c r="I17" s="91" t="str">
        <x:v>Cả nhóm bắt đầu cùng ngày</x:v>
      </x:c>
      <x:c r="J17" s="83" t="str"/>
    </x:row>
    <x:row r="18">
      <x:c r="A18" s="83" t="str">
        <x:v>Luyện chữ hè 3</x:v>
      </x:c>
      <x:c r="B18" s="83" t="str">
        <x:v>(chưa xếp ca)</x:v>
      </x:c>
      <x:c r="C18" s="83" t="str"/>
      <x:c r="D18" s="83" t="str"/>
      <x:c r="E18" s="85" t="n">
        <x:v>46230</x:v>
      </x:c>
      <x:c r="F18" s="83" t="str">
        <x:v>T2</x:v>
      </x:c>
      <x:c r="G18" s="83" t="n">
        <x:v>2</x:v>
      </x:c>
      <x:c r="H18" s="91" t="str">
        <x:v>Duy Đăng, Nguyễn Quỳnh Trang</x:v>
      </x:c>
      <x:c r="I18" s="91" t="str">
        <x:v>Chưa xếp ca; Duy Đăng chưa học</x:v>
      </x:c>
      <x:c r="J18" s="83" t="str"/>
    </x:row>
    <x:row r="19">
      <x:c r="A19" s="83" t="str">
        <x:v>Luyện chữ hè 4</x:v>
      </x:c>
      <x:c r="B19" s="83" t="str">
        <x:v>Lớp chờ tháng 7</x:v>
      </x:c>
      <x:c r="C19" s="83" t="str"/>
      <x:c r="D19" s="83" t="str"/>
      <x:c r="E19" s="85"/>
      <x:c r="F19" s="83" t="str"/>
      <x:c r="G19" s="83" t="n">
        <x:v>1</x:v>
      </x:c>
      <x:c r="H19" s="91" t="str">
        <x:v>Kenry</x:v>
      </x:c>
      <x:c r="I19" s="91" t="str">
        <x:v>Lớp chờ tháng 7</x:v>
      </x:c>
      <x:c r="J19" s="83" t="str"/>
    </x:row>
    <x:row r="20">
      <x:c r="A20" s="83" t="str">
        <x:v>Luyện chữ hè 5</x:v>
      </x:c>
      <x:c r="B20" s="83" t="str">
        <x:v>T2-T4 · 19h45-21h</x:v>
      </x:c>
      <x:c r="C20" s="83" t="str">
        <x:v>19:45-21:00</x:v>
      </x:c>
      <x:c r="D20" s="83" t="str">
        <x:v>Tối</x:v>
      </x:c>
      <x:c r="E20" s="85" t="n">
        <x:v>46176</x:v>
      </x:c>
      <x:c r="F20" s="83" t="str">
        <x:v>T4</x:v>
      </x:c>
      <x:c r="G20" s="83" t="n">
        <x:v>1</x:v>
      </x:c>
      <x:c r="H20" s="91" t="str">
        <x:v>Ngọc Châu</x:v>
      </x:c>
      <x:c r="I20" s="91" t="str">
        <x:v>Cả nhóm bắt đầu cùng ngày</x:v>
      </x:c>
      <x:c r="J20" s="83" t="str"/>
    </x:row>
    <x:row r="21">
      <x:c r="A21" s="83" t="str">
        <x:v>Luyện chữ hè 6</x:v>
      </x:c>
      <x:c r="B21" s="83" t="str">
        <x:v>T4-T6 · 19h45-21h</x:v>
      </x:c>
      <x:c r="C21" s="83" t="str">
        <x:v>19:45-21:00</x:v>
      </x:c>
      <x:c r="D21" s="83" t="str">
        <x:v>Tối</x:v>
      </x:c>
      <x:c r="E21" s="85" t="n">
        <x:v>46176</x:v>
      </x:c>
      <x:c r="F21" s="83" t="str">
        <x:v>T4</x:v>
      </x:c>
      <x:c r="G21" s="83" t="n">
        <x:v>1</x:v>
      </x:c>
      <x:c r="H21" s="91" t="str">
        <x:v>Vũ Quang Hùng</x:v>
      </x:c>
      <x:c r="I21" s="91" t="str">
        <x:v>Cả nhóm bắt đầu cùng ngày</x:v>
      </x:c>
      <x:c r="J21" s="83" t="str"/>
    </x:row>
    <x:row r="23">
      <x:c r="A23" s="107" t="str">
        <x:v>https://docs.google.com/spreadsheets/d/1SelaoNWI6fyUdqhM10CEssYpIwDjL4K6me1AOeZ8exM/edit?gid=945263735#gid=945263735</x:v>
      </x:c>
      <x:c r="B23" s="107" t="str">
        <x:v>https://docs.google.com/spreadsheets/d/1SelaoNWI6fyUdqhM10CEssYpIwDjL4K6me1AOeZ8exM/edit?gid=945263735#gid=945263735</x:v>
      </x:c>
      <x:c r="C23" s="107" t="str">
        <x:v>https://docs.google.com/spreadsheets/d/1SelaoNWI6fyUdqhM10CEssYpIwDjL4K6me1AOeZ8exM/edit?gid=945263735#gid=945263735</x:v>
      </x:c>
      <x:c r="D23" s="107" t="str">
        <x:v>https://docs.google.com/spreadsheets/d/1SelaoNWI6fyUdqhM10CEssYpIwDjL4K6me1AOeZ8exM/edit?gid=945263735#gid=945263735</x:v>
      </x:c>
      <x:c r="E23" s="107" t="str">
        <x:v>https://docs.google.com/spreadsheets/d/1SelaoNWI6fyUdqhM10CEssYpIwDjL4K6me1AOeZ8exM/edit?gid=945263735#gid=945263735</x:v>
      </x:c>
      <x:c r="F23" s="107" t="str">
        <x:v>https://docs.google.com/spreadsheets/d/1SelaoNWI6fyUdqhM10CEssYpIwDjL4K6me1AOeZ8exM/edit?gid=945263735#gid=945263735</x:v>
      </x:c>
      <x:c r="G23" s="107" t="str">
        <x:v>https://docs.google.com/spreadsheets/d/1SelaoNWI6fyUdqhM10CEssYpIwDjL4K6me1AOeZ8exM/edit?gid=945263735#gid=945263735</x:v>
      </x:c>
      <x:c r="H23" s="107" t="str">
        <x:v>https://docs.google.com/spreadsheets/d/1SelaoNWI6fyUdqhM10CEssYpIwDjL4K6me1AOeZ8exM/edit?gid=945263735#gid=945263735</x:v>
      </x:c>
      <x:c r="I23" s="107" t="str">
        <x:v>https://docs.google.com/spreadsheets/d/1SelaoNWI6fyUdqhM10CEssYpIwDjL4K6me1AOeZ8exM/edit?gid=945263735#gid=945263735</x:v>
      </x:c>
      <x:c r="J23" s="107" t="str">
        <x:v>https://docs.google.com/spreadsheets/d/1SelaoNWI6fyUdqhM10CEssYpIwDjL4K6me1AOeZ8exM/edit?gid=945263735#gid=945263735</x:v>
      </x:c>
    </x:row>
  </x:sheetData>
  <x:mergeCells>
    <x:mergeCell ref="A1:J1"/>
    <x:mergeCell ref="A2:J2"/>
    <x:mergeCell ref="A23:J23"/>
  </x:mergeCells>
  <x:pageMargins left="0.7" right="0.7" top="0.75" bottom="0.75" header="0.3" footer="0.3"/>
  <x:tableParts count="1">
    <x:tablePart xmlns:r="http://schemas.openxmlformats.org/officeDocument/2006/relationships" r:id="R8b912ea393024fd6"/>
  </x:tableParts>
</x:worksheet>
</file>