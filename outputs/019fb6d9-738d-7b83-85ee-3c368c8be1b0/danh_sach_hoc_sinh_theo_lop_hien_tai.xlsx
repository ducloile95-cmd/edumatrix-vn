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a17a6286a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9ee04da2e2314f8a"/>
    <x:sheet xmlns:r="http://schemas.openxmlformats.org/officeDocument/2006/relationships" name="Danh sách học sinh" sheetId="2" r:id="R090c7e54f22941b1"/>
    <x:sheet xmlns:r="http://schemas.openxmlformats.org/officeDocument/2006/relationships" name="Danh sách theo lớp" sheetId="3" r:id="Rc9bb39c7f06e4a8c"/>
    <x:sheet xmlns:r="http://schemas.openxmlformats.org/officeDocument/2006/relationships" name="Cần xác nhận" sheetId="4" r:id="R2fb19f97601843cf"/>
    <x:sheet xmlns:r="http://schemas.openxmlformats.org/officeDocument/2006/relationships" name="Lớp học quy chuẩn" sheetId="5" r:id="Rdbcd755a75cb4a93"/>
    <x:sheet xmlns:r="http://schemas.openxmlformats.org/officeDocument/2006/relationships" name="Nguồn tổng hợp" sheetId="6" r:id="R3d070803b152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"/>
    <x:numFmt numFmtId="202" formatCode="#,##0"/>
    <x:numFmt numFmtId="203" formatCode="#,##0 &quot;buổi&quot;"/>
    <x:numFmt numFmtId="204" formatCode="#,##0 &quot;₫&quot;"/>
  </x:numFmts>
  <x:fonts count="10">
    <x:font>
      <x:sz val="11"/>
      <x:name val="Carlito"/>
    </x:font>
    <x:font>
      <x:b/>
      <x:sz val="18"/>
      <x:color rgb="FFFFFFFF"/>
      <x:name val="Aptos Display"/>
    </x:font>
    <x:font>
      <x:sz val="10"/>
      <x:color rgb="FF253142"/>
      <x:name val="Aptos"/>
    </x:font>
    <x:font>
      <x:b/>
      <x:sz val="10"/>
      <x:color rgb="FFFFFFFF"/>
      <x:name val="Aptos"/>
    </x:font>
    <x:font>
      <x:b/>
      <x:sz val="14"/>
      <x:color rgb="FF157A6E"/>
      <x:name val="Aptos Display"/>
    </x:font>
    <x:font>
      <x:b/>
      <x:sz val="10"/>
      <x:color rgb="FF183B56"/>
      <x:name val="Aptos"/>
    </x:font>
    <x:font>
      <x:b/>
      <x:sz val="11"/>
      <x:color rgb="FFFFFFFF"/>
      <x:name val="Carlito"/>
    </x:font>
    <x:font>
      <x:b/>
      <x:sz val="10"/>
      <x:color rgb="FF2563EB"/>
      <x:name val="Aptos"/>
    </x:font>
    <x:font>
      <x:sz val="9"/>
      <x:color rgb="FF2563EB"/>
      <x:name val="Carlito"/>
    </x:font>
    <x:font>
      <x:b/>
      <x:sz val="11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E7F6F2"/>
      </x:patternFill>
    </x:fill>
    <x:fill>
      <x:patternFill patternType="solid">
        <x:fgColor rgb="FF157A6E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bottom style="thin">
        <x:color rgb="FFD8E0EA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5" borderId="4" xfId="0" applyNumberFormat="1" applyFont="1" applyFill="1" applyBorder="1" applyAlignment="1">
      <x:alignment vertical="top"/>
    </x:xf>
    <x:xf numFmtId="0" fontId="2" fillId="5" borderId="2" xfId="0" applyNumberFormat="1" applyFont="1" applyFill="1" applyBorder="1" applyAlignment="1">
      <x:alignment vertical="top"/>
    </x:xf>
    <x:xf numFmtId="0" fontId="4" fillId="5" borderId="4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4" fillId="5" borderId="4" xfId="0" applyNumberFormat="1" applyFont="1" applyFill="1" applyBorder="1" applyAlignment="1">
      <x:alignment horizontal="center" vertical="top"/>
    </x:xf>
    <x:xf numFmtId="0" fontId="4" fillId="5" borderId="2" xfId="0" applyNumberFormat="1" applyFont="1" applyFill="1" applyBorder="1" applyAlignment="1">
      <x:alignment horizontal="center"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horizontal="center" vertical="top"/>
    </x:xf>
    <x:xf numFmtId="0" fontId="2" fillId="0" borderId="2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3" borderId="4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7" fillId="3" borderId="4" xfId="0" applyNumberFormat="1" applyFont="1" applyFill="1" applyBorder="1" applyAlignment="1">
      <x:alignment vertical="top"/>
    </x:xf>
    <x:xf numFmtId="0" fontId="7" fillId="3" borderId="2" xfId="0" applyNumberFormat="1" applyFont="1" applyFill="1" applyBorder="1" applyAlignment="1">
      <x:alignment vertical="top"/>
    </x:xf>
    <x:xf numFmtId="0" fontId="7" fillId="3" borderId="4" xfId="0" applyNumberFormat="1" applyFont="1" applyFill="1" applyBorder="1" applyAlignment="1">
      <x:alignment horizontal="center" vertical="top"/>
    </x:xf>
    <x:xf numFmtId="0" fontId="7" fillId="3" borderId="2" xfId="0" applyNumberFormat="1" applyFont="1" applyFill="1" applyBorder="1" applyAlignment="1">
      <x:alignment horizontal="center"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2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2" xfId="0" applyNumberFormat="1" applyFont="1" applyFill="1" applyBorder="1" applyAlignment="1">
      <x:alignment vertical="top"/>
    </x:xf>
    <x:xf numFmtId="202" fontId="2" fillId="0" borderId="4" xfId="0" applyNumberFormat="1" applyFont="1" applyFill="1" applyBorder="1" applyAlignment="1">
      <x:alignment vertical="top"/>
    </x:xf>
    <x:xf numFmtId="202" fontId="2" fillId="0" borderId="2" xfId="0" applyNumberFormat="1" applyFont="1" applyFill="1" applyBorder="1" applyAlignment="1">
      <x:alignment vertical="top"/>
    </x:xf>
    <x:xf numFmtId="0" fontId="9" fillId="2" borderId="0" xfId="0" applyNumberFormat="1" applyFont="1" applyFill="1" applyBorder="1"/>
    <x:xf numFmtId="203" fontId="2" fillId="0" borderId="4" xfId="0" applyNumberFormat="1" applyFont="1" applyFill="1" applyBorder="1" applyAlignment="1">
      <x:alignment vertical="top"/>
    </x:xf>
    <x:xf numFmtId="203" fontId="2" fillId="0" borderId="2" xfId="0" applyNumberFormat="1" applyFont="1" applyFill="1" applyBorder="1" applyAlignment="1">
      <x:alignment vertical="top"/>
    </x:xf>
    <x:xf numFmtId="204" fontId="2" fillId="0" borderId="4" xfId="0" applyNumberFormat="1" applyFont="1" applyFill="1" applyBorder="1" applyAlignment="1">
      <x:alignment vertical="top"/>
    </x:xf>
    <x:xf numFmtId="204" fontId="2" fillId="0" borderId="2" xfId="0" applyNumberFormat="1" applyFont="1" applyFill="1" applyBorder="1" applyAlignment="1">
      <x:alignment vertical="top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B66A00"/>
      </x:font>
      <x:fill>
        <x:patternFill patternType="solid">
          <x:bgColor rgb="FFFFF3D4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157A6E"/>
      </x:font>
      <x:fill>
        <x:patternFill patternType="solid">
          <x:bgColor rgb="FFE7F6F2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  <x:dxf>
      <x:font>
        <x:b/>
        <x:color rgb="FFB42318"/>
      </x:font>
      <x:fill>
        <x:patternFill patternType="solid">
          <x:bgColor rgb="FFFDEC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145051f47495b" /><Relationship Type="http://schemas.openxmlformats.org/officeDocument/2006/relationships/theme" Target="/xl/theme/theme1.xml" Id="R57b17bb053eb4a9b" /><Relationship Type="http://schemas.openxmlformats.org/officeDocument/2006/relationships/sharedStrings" Target="/xl/sharedStrings.xml" Id="R3cfafadb265748fa" /><Relationship Type="http://schemas.openxmlformats.org/officeDocument/2006/relationships/worksheet" Target="/xl/worksheets/sheet1.xml" Id="R9ee04da2e2314f8a" /><Relationship Type="http://schemas.openxmlformats.org/officeDocument/2006/relationships/worksheet" Target="/xl/worksheets/sheet2.xml" Id="R090c7e54f22941b1" /><Relationship Type="http://schemas.openxmlformats.org/officeDocument/2006/relationships/worksheet" Target="/xl/worksheets/sheet3.xml" Id="Rc9bb39c7f06e4a8c" /><Relationship Type="http://schemas.openxmlformats.org/officeDocument/2006/relationships/worksheet" Target="/xl/worksheets/sheet4.xml" Id="R2fb19f97601843cf" /><Relationship Type="http://schemas.openxmlformats.org/officeDocument/2006/relationships/worksheet" Target="/xl/worksheets/sheet5.xml" Id="Rdbcd755a75cb4a93" /><Relationship Type="http://schemas.openxmlformats.org/officeDocument/2006/relationships/worksheet" Target="/xl/worksheets/sheet6.xml" Id="R3d070803b1524587" /></Relationships>
</file>

<file path=xl/tables/table1.xml><?xml version="1.0" encoding="utf-8"?>
<x:table xmlns:x="http://schemas.openxmlformats.org/spreadsheetml/2006/main" id="1" name="CurrentStudentRoster" displayName="CurrentStudentRoster" ref="A4:P34" headerRowCount="1" totalsRowCount="0" totalsRowShown="0">
  <x:tableColumns count="16">
    <x:tableColumn id="1" name="STT"/>
    <x:tableColumn id="2" name="Lớp hiện tại"/>
    <x:tableColumn id="3" name="Chương trình chuẩn"/>
    <x:tableColumn id="4" name="Status"/>
    <x:tableColumn id="5" name="Họ và tên"/>
    <x:tableColumn id="6" name="Năm sinh"/>
    <x:tableColumn id="7" name="Lịch nguồn / thực tế"/>
    <x:tableColumn id="8" name="Ngày bắt đầu"/>
    <x:tableColumn id="9" name="Buổi T6"/>
    <x:tableColumn id="10" name="Buổi T7"/>
    <x:tableColumn id="11" name="Tổng buổi"/>
    <x:tableColumn id="12" name="Trạng thái T7"/>
    <x:tableColumn id="13" name="Ghi chú"/>
    <x:tableColumn id="14" name="Độ khớp"/>
    <x:tableColumn id="15" name="Lý do phân lớp"/>
    <x:tableColumn id="16" name="Status 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Queue" displayName="ReviewQueue" ref="A4:J18" headerRowCount="1" totalsRowCount="0" totalsRowShown="0">
  <x:tableColumns count="10">
    <x:tableColumn id="1" name="STT"/>
    <x:tableColumn id="2" name="Họ và tên"/>
    <x:tableColumn id="3" name="Lớp tạm phân"/>
    <x:tableColumn id="4" name="Status"/>
    <x:tableColumn id="5" name="Lịch nguồn / thực tế"/>
    <x:tableColumn id="6" name="Độ khớp"/>
    <x:tableColumn id="7" name="Vấn đề cần xác nhận"/>
    <x:tableColumn id="8" name="Tổng buổi"/>
    <x:tableColumn id="9" name="Status nguồn"/>
    <x:tableColumn id="10" name="Ưu tiê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ndardClasses" displayName="StandardClasses" ref="A4:K12" headerRowCount="1" totalsRowCount="0" totalsRowShown="0">
  <x:tableColumns count="11">
    <x:tableColumn id="1" name="STT"/>
    <x:tableColumn id="2" name="Lớp học"/>
    <x:tableColumn id="3" name="Chương trình học"/>
    <x:tableColumn id="4" name="Ca học"/>
    <x:tableColumn id="5" name="Ngày học 1"/>
    <x:tableColumn id="6" name="Ngày học 2"/>
    <x:tableColumn id="7" name="Giờ bắt đầu"/>
    <x:tableColumn id="8" name="Giờ kết thúc"/>
    <x:tableColumn id="9" name="Ngày khai giảng"/>
    <x:tableColumn id="10" name="Tổng số buổi"/>
    <x:tableColumn id="11" name="Học phí/buổ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udents" displayName="SourceStudents" ref="A4:M34" headerRowCount="1" totalsRowCount="0" totalsRowShown="0">
  <x:tableColumns count="13">
    <x:tableColumn id="1" name="STT"/>
    <x:tableColumn id="2" name="Họ và tên"/>
    <x:tableColumn id="3" name="Status nguồn"/>
    <x:tableColumn id="4" name="Năm sinh"/>
    <x:tableColumn id="5" name="Chương trình nguồn"/>
    <x:tableColumn id="6" name="Lịch học nguồn"/>
    <x:tableColumn id="7" name="Ngày bắt đầu"/>
    <x:tableColumn id="8" name="Buổi T6"/>
    <x:tableColumn id="9" name="Buổi T7"/>
    <x:tableColumn id="10" name="Tổng buổi"/>
    <x:tableColumn id="11" name="Trạng thái T7"/>
    <x:tableColumn id="12" name="Ghi chú"/>
    <x:tableColumn id="13" name="Lớp đã phâ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c06974d87843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0af81e53644c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18bfdf35b6842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ad08749e034a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25" hidden="0" customWidth="1"/>
    <x:col min="3" max="3" width="15" hidden="0" customWidth="1"/>
    <x:col min="4" max="4" width="16.8799991607666" hidden="0" customWidth="1"/>
    <x:col min="5" max="5" width="3.5" hidden="0" customWidth="1"/>
    <x:col min="6" max="6" width="12.5" hidden="0" customWidth="1"/>
    <x:col min="7" max="7" width="29.3799991607666" hidden="0" customWidth="1"/>
    <x:col min="8" max="8" width="9.380000114440918" hidden="0" customWidth="1"/>
    <x:col min="9" max="9" width="9.380000114440918" hidden="0" customWidth="1"/>
    <x:col min="10" max="10" width="10.630000114440918" hidden="0" customWidth="1"/>
  </x:cols>
  <x:sheetData>
    <x:row r="1" ht="36" customHeight="1">
      <x:c r="A1" s="3" t="str">
        <x:v>  DANH SÁCH HỌC SINH THEO LỚP HIỆN TẠI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Lấy tab “Lớp học hiện tại” làm quy chuẩn; giữ đầy đủ Active và Deactive. Pending được chuẩn hóa thành Deactive.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Chỉ số</x:v>
      </x:c>
      <x:c r="B4" s="20" t="str">
        <x:v>Tổng</x:v>
      </x:c>
      <x:c r="C4" s="20" t="str">
        <x:v>Tiền tiểu học</x:v>
      </x:c>
      <x:c r="D4" s="21" t="str">
        <x:v>Luyện viết chữ đẹp</x:v>
      </x:c>
      <x:c r="F4" s="19" t="str">
        <x:v>Lớp</x:v>
      </x:c>
      <x:c r="G4" s="20" t="str">
        <x:v>Lịch chuẩn</x:v>
      </x:c>
      <x:c r="H4" s="20" t="str">
        <x:v>Tổng HS</x:v>
      </x:c>
      <x:c r="I4" s="20" t="str">
        <x:v>Active</x:v>
      </x:c>
      <x:c r="J4" s="21" t="str">
        <x:v>Deactive</x:v>
      </x:c>
    </x:row>
    <x:row r="5">
      <x:c r="A5" s="25" t="str">
        <x:v>Tổng học sinh</x:v>
      </x:c>
      <x:c r="B5" s="31" t="n">
        <x:f>COUNTA('Danh sách học sinh'!$A$5:$A$34)</x:f>
        <x:v>30</x:v>
      </x:c>
      <x:c r="C5" s="31" t="n">
        <x:f>COUNTIF('Danh sách học sinh'!$C$5:$C$34,"Tiền tiểu học")</x:f>
        <x:v>18</x:v>
      </x:c>
      <x:c r="D5" s="31" t="n">
        <x:f>COUNTIF('Danh sách học sinh'!$C$5:$C$34,"Luyện viết chữ đẹp")</x:f>
        <x:v>12</x:v>
      </x:c>
      <x:c r="F5" s="33" t="str">
        <x:v>Prekids01</x:v>
      </x:c>
      <x:c r="G5" s="25" t="str">
        <x:v>Thứ 2, Thứ 5 · 19:45-21:10 · Tối</x:v>
      </x:c>
      <x:c r="H5" s="35" t="n">
        <x:f>COUNTIF('Danh sách học sinh'!$B$5:$B$34,F5)</x:f>
        <x:v>7</x:v>
      </x:c>
      <x:c r="I5" s="35" t="n">
        <x:f>COUNTIFS('Danh sách học sinh'!$B$5:$B$34,F5,'Danh sách học sinh'!$D$5:$D$34,"Active")</x:f>
        <x:v>5</x:v>
      </x:c>
      <x:c r="J5" s="35" t="n">
        <x:f>COUNTIFS('Danh sách học sinh'!$B$5:$B$34,F5,'Danh sách học sinh'!$D$5:$D$34,"Deactive")</x:f>
        <x:v>2</x:v>
      </x:c>
    </x:row>
    <x:row r="6">
      <x:c r="A6" s="26" t="str">
        <x:v>Active — đang học</x:v>
      </x:c>
      <x:c r="B6" s="32" t="n">
        <x:f>COUNTIF('Danh sách học sinh'!$D$5:$D$34,"Active")</x:f>
        <x:v>21</x:v>
      </x:c>
      <x:c r="C6" s="32" t="n">
        <x:f>COUNTIFS('Danh sách học sinh'!$C$5:$C$34,"Tiền tiểu học",'Danh sách học sinh'!$D$5:$D$34,"Active")</x:f>
        <x:v>11</x:v>
      </x:c>
      <x:c r="D6" s="32" t="n">
        <x:f>COUNTIFS('Danh sách học sinh'!$C$5:$C$34,"Luyện viết chữ đẹp",'Danh sách học sinh'!$D$5:$D$34,"Active")</x:f>
        <x:v>10</x:v>
      </x:c>
      <x:c r="F6" s="34" t="str">
        <x:v>Prekids02</x:v>
      </x:c>
      <x:c r="G6" s="26" t="str">
        <x:v>Thứ 3, Thứ 5 · 19:45-21:10 · Tối</x:v>
      </x:c>
      <x:c r="H6" s="36" t="n">
        <x:f>COUNTIF('Danh sách học sinh'!$B$5:$B$34,F6)</x:f>
        <x:v>7</x:v>
      </x:c>
      <x:c r="I6" s="36" t="n">
        <x:f>COUNTIFS('Danh sách học sinh'!$B$5:$B$34,F6,'Danh sách học sinh'!$D$5:$D$34,"Active")</x:f>
        <x:v>3</x:v>
      </x:c>
      <x:c r="J6" s="36" t="n">
        <x:f>COUNTIFS('Danh sách học sinh'!$B$5:$B$34,F6,'Danh sách học sinh'!$D$5:$D$34,"Deactive")</x:f>
        <x:v>4</x:v>
      </x:c>
    </x:row>
    <x:row r="7">
      <x:c r="A7" s="26" t="str">
        <x:v>Deactive — đã/tạm nghỉ</x:v>
      </x:c>
      <x:c r="B7" s="32" t="n">
        <x:f>COUNTIF('Danh sách học sinh'!$D$5:$D$34,"Deactive")</x:f>
        <x:v>9</x:v>
      </x:c>
      <x:c r="C7" s="32" t="n">
        <x:f>COUNTIFS('Danh sách học sinh'!$C$5:$C$34,"Tiền tiểu học",'Danh sách học sinh'!$D$5:$D$34,"Deactive")</x:f>
        <x:v>7</x:v>
      </x:c>
      <x:c r="D7" s="32" t="n">
        <x:f>COUNTIFS('Danh sách học sinh'!$C$5:$C$34,"Luyện viết chữ đẹp",'Danh sách học sinh'!$D$5:$D$34,"Deactive")</x:f>
        <x:v>2</x:v>
      </x:c>
      <x:c r="F7" s="34" t="str">
        <x:v>Prekids03</x:v>
      </x:c>
      <x:c r="G7" s="26" t="str">
        <x:v>Thứ 3, Thứ 7 · 19:45-21:10 · Tối</x:v>
      </x:c>
      <x:c r="H7" s="36" t="n">
        <x:f>COUNTIF('Danh sách học sinh'!$B$5:$B$34,F7)</x:f>
        <x:v>4</x:v>
      </x:c>
      <x:c r="I7" s="36" t="n">
        <x:f>COUNTIFS('Danh sách học sinh'!$B$5:$B$34,F7,'Danh sách học sinh'!$D$5:$D$34,"Active")</x:f>
        <x:v>3</x:v>
      </x:c>
      <x:c r="J7" s="36" t="n">
        <x:f>COUNTIFS('Danh sách học sinh'!$B$5:$B$34,F7,'Danh sách học sinh'!$D$5:$D$34,"Deactive")</x:f>
        <x:v>1</x:v>
      </x:c>
    </x:row>
    <x:row r="8">
      <x:c r="F8" s="34" t="str">
        <x:v>LCD001</x:v>
      </x:c>
      <x:c r="G8" s="26" t="str">
        <x:v>Thứ 2, Thứ 4 · 08:30-10:00 · Sáng</x:v>
      </x:c>
      <x:c r="H8" s="36" t="n">
        <x:f>COUNTIF('Danh sách học sinh'!$B$5:$B$34,F8)</x:f>
        <x:v>5</x:v>
      </x:c>
      <x:c r="I8" s="36" t="n">
        <x:f>COUNTIFS('Danh sách học sinh'!$B$5:$B$34,F8,'Danh sách học sinh'!$D$5:$D$34,"Active")</x:f>
        <x:v>5</x:v>
      </x:c>
      <x:c r="J8" s="36" t="n">
        <x:f>COUNTIFS('Danh sách học sinh'!$B$5:$B$34,F8,'Danh sách học sinh'!$D$5:$D$34,"Deactive")</x:f>
        <x:v>0</x:v>
      </x:c>
    </x:row>
    <x:row r="9">
      <x:c r="F9" s="34" t="str">
        <x:v>LCD002</x:v>
      </x:c>
      <x:c r="G9" s="26" t="str">
        <x:v>Thứ 3, Thứ 5 · 08:30-10:00 · Sáng</x:v>
      </x:c>
      <x:c r="H9" s="36" t="n">
        <x:f>COUNTIF('Danh sách học sinh'!$B$5:$B$34,F9)</x:f>
        <x:v>2</x:v>
      </x:c>
      <x:c r="I9" s="36" t="n">
        <x:f>COUNTIFS('Danh sách học sinh'!$B$5:$B$34,F9,'Danh sách học sinh'!$D$5:$D$34,"Active")</x:f>
        <x:v>1</x:v>
      </x:c>
      <x:c r="J9" s="36" t="n">
        <x:f>COUNTIFS('Danh sách học sinh'!$B$5:$B$34,F9,'Danh sách học sinh'!$D$5:$D$34,"Deactive")</x:f>
        <x:v>1</x:v>
      </x:c>
    </x:row>
    <x:row r="10">
      <x:c r="A10" s="38" t="str">
        <x:v>QUY TẮC PHÂN LỚP</x:v>
      </x:c>
      <x:c r="B10" s="38"/>
      <x:c r="C10" s="38"/>
      <x:c r="D10" s="38"/>
      <x:c r="F10" s="34" t="str">
        <x:v>LCD003</x:v>
      </x:c>
      <x:c r="G10" s="26" t="str">
        <x:v>Thứ 2, Thứ 4 · 19:45-21:10 · Tối</x:v>
      </x:c>
      <x:c r="H10" s="36" t="n">
        <x:f>COUNTIF('Danh sách học sinh'!$B$5:$B$34,F10)</x:f>
        <x:v>2</x:v>
      </x:c>
      <x:c r="I10" s="36" t="n">
        <x:f>COUNTIFS('Danh sách học sinh'!$B$5:$B$34,F10,'Danh sách học sinh'!$D$5:$D$34,"Active")</x:f>
        <x:v>2</x:v>
      </x:c>
      <x:c r="J10" s="36" t="n">
        <x:f>COUNTIFS('Danh sách học sinh'!$B$5:$B$34,F10,'Danh sách học sinh'!$D$5:$D$34,"Deactive")</x:f>
        <x:v>0</x:v>
      </x:c>
    </x:row>
    <x:row r="11" ht="30" customHeight="1">
      <x:c r="A11" s="43" t="str">
        <x:v>1</x:v>
      </x:c>
      <x:c r="B11" s="25" t="str">
        <x:v>Ưu tiên</x:v>
      </x:c>
      <x:c r="C11" s="45" t="str">
        <x:v>Lịch thực tế tháng 7 trước lịch đăng ký cũ</x:v>
      </x:c>
      <x:c r="D11" s="45" t="str"/>
      <x:c r="F11" s="34" t="str">
        <x:v>LCD004</x:v>
      </x:c>
      <x:c r="G11" s="26" t="str">
        <x:v>Thứ 4, Thứ 6 · 19:45-21:10 · Tối</x:v>
      </x:c>
      <x:c r="H11" s="36" t="n">
        <x:f>COUNTIF('Danh sách học sinh'!$B$5:$B$34,F11)</x:f>
        <x:v>1</x:v>
      </x:c>
      <x:c r="I11" s="36" t="n">
        <x:f>COUNTIFS('Danh sách học sinh'!$B$5:$B$34,F11,'Danh sách học sinh'!$D$5:$D$34,"Active")</x:f>
        <x:v>1</x:v>
      </x:c>
      <x:c r="J11" s="36" t="n">
        <x:f>COUNTIFS('Danh sách học sinh'!$B$5:$B$34,F11,'Danh sách học sinh'!$D$5:$D$34,"Deactive")</x:f>
        <x:v>0</x:v>
      </x:c>
    </x:row>
    <x:row r="12" ht="30" customHeight="1">
      <x:c r="A12" s="44" t="str">
        <x:v>2</x:v>
      </x:c>
      <x:c r="B12" s="26" t="str">
        <x:v>Khớp chính xác</x:v>
      </x:c>
      <x:c r="C12" s="46" t="str">
        <x:v>Hai ngày và ca học khớp lớp chuẩn</x:v>
      </x:c>
      <x:c r="D12" s="46" t="str"/>
      <x:c r="F12" s="34" t="str">
        <x:v>LCD005</x:v>
      </x:c>
      <x:c r="G12" s="26" t="str">
        <x:v>Thứ 4, Thứ 7 · 19:45-21:10 · Tối</x:v>
      </x:c>
      <x:c r="H12" s="36" t="n">
        <x:f>COUNTIF('Danh sách học sinh'!$B$5:$B$34,F12)</x:f>
        <x:v>2</x:v>
      </x:c>
      <x:c r="I12" s="36" t="n">
        <x:f>COUNTIFS('Danh sách học sinh'!$B$5:$B$34,F12,'Danh sách học sinh'!$D$5:$D$34,"Active")</x:f>
        <x:v>1</x:v>
      </x:c>
      <x:c r="J12" s="36" t="n">
        <x:f>COUNTIFS('Danh sách học sinh'!$B$5:$B$34,F12,'Danh sách học sinh'!$D$5:$D$34,"Deactive")</x:f>
        <x:v>1</x:v>
      </x:c>
    </x:row>
    <x:row r="13" ht="30" customHeight="1">
      <x:c r="A13" s="44" t="str">
        <x:v>3</x:v>
      </x:c>
      <x:c r="B13" s="26" t="str">
        <x:v>Khớp gần</x:v>
      </x:c>
      <x:c r="C13" s="46" t="str">
        <x:v>Khớp ít nhất một ngày hoặc lịch nhiều hơn lịch chuẩn</x:v>
      </x:c>
      <x:c r="D13" s="46" t="str"/>
    </x:row>
    <x:row r="14" ht="30" customHeight="1">
      <x:c r="A14" s="44" t="str">
        <x:v>4</x:v>
      </x:c>
      <x:c r="B14" s="26" t="str">
        <x:v>Tạm phân</x:v>
      </x:c>
      <x:c r="C14" s="46" t="str">
        <x:v>Lịch mơ hồ/không khớp; xem sheet Cần xác nhận</x:v>
      </x:c>
      <x:c r="D14" s="46" t="str"/>
    </x:row>
    <x:row r="16">
      <x:c r="A16" s="49" t="str">
        <x:v>https://docs.google.com/spreadsheets/d/1SelaoNWI6fyUdqhM10CEssYpIwDjL4K6me1AOeZ8exM/edit?gid=2043552548#gid=2043552548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</x:sheetData>
  <x:mergeCells>
    <x:mergeCell ref="A1:J1"/>
    <x:mergeCell ref="A2:J2"/>
    <x:mergeCell ref="A10:D10"/>
    <x:mergeCell ref="C11:D11"/>
    <x:mergeCell ref="C12:D12"/>
    <x:mergeCell ref="C13:D13"/>
    <x:mergeCell ref="C14:D14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1.880000114440918" hidden="0" customWidth="1"/>
    <x:col min="3" max="3" width="18.1299991607666" hidden="0" customWidth="1"/>
    <x:col min="4" max="4" width="10.630000114440918" hidden="0" customWidth="1"/>
    <x:col min="5" max="5" width="19.3799991607666" hidden="0" customWidth="1"/>
    <x:col min="6" max="6" width="9.380000114440918" hidden="0" customWidth="1"/>
    <x:col min="7" max="7" width="29.3799991607666" hidden="0" customWidth="1"/>
    <x:col min="8" max="8" width="11.880000114440918" hidden="0" customWidth="1"/>
    <x:col min="9" max="9" width="8.130000114440918" hidden="0" customWidth="1"/>
    <x:col min="10" max="10" width="8.130000114440918" hidden="0" customWidth="1"/>
    <x:col min="11" max="11" width="8.75" hidden="0" customWidth="1"/>
    <x:col min="12" max="12" width="16.8799991607666" hidden="0" customWidth="1"/>
    <x:col min="13" max="13" width="28.75" hidden="0" customWidth="1"/>
    <x:col min="14" max="14" width="12.5" hidden="0" customWidth="1"/>
    <x:col min="15" max="15" width="41.25" hidden="0" customWidth="1"/>
    <x:col min="16" max="16" width="11.880000114440918" hidden="0" customWidth="1"/>
  </x:cols>
  <x:sheetData>
    <x:row r="1" ht="36" customHeight="1">
      <x:c r="A1" s="3" t="str">
        <x:v>  DANH SÁCH HỌC SINH ĐÃ PHÂN LỚP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Sắp theo lớp → Active trước → Deactive sau. Các cột trạng thái và độ khớp có thể lọc trực tiếp.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9" t="str">
        <x:v>STT</x:v>
      </x:c>
      <x:c r="B4" s="20" t="str">
        <x:v>Lớp hiện tại</x:v>
      </x:c>
      <x:c r="C4" s="20" t="str">
        <x:v>Chương trình chuẩn</x:v>
      </x:c>
      <x:c r="D4" s="20" t="str">
        <x:v>Status</x:v>
      </x:c>
      <x:c r="E4" s="20" t="str">
        <x:v>Họ và tên</x:v>
      </x:c>
      <x:c r="F4" s="20" t="str">
        <x:v>Năm sinh</x:v>
      </x:c>
      <x:c r="G4" s="20" t="str">
        <x:v>Lịch nguồn / thực tế</x:v>
      </x:c>
      <x:c r="H4" s="20" t="str">
        <x:v>Ngày bắt đầu</x:v>
      </x:c>
      <x:c r="I4" s="20" t="str">
        <x:v>Buổi T6</x:v>
      </x:c>
      <x:c r="J4" s="20" t="str">
        <x:v>Buổi T7</x:v>
      </x:c>
      <x:c r="K4" s="20" t="str">
        <x:v>Tổng buổi</x:v>
      </x:c>
      <x:c r="L4" s="20" t="str">
        <x:v>Trạng thái T7</x:v>
      </x:c>
      <x:c r="M4" s="20" t="str">
        <x:v>Ghi chú</x:v>
      </x:c>
      <x:c r="N4" s="20" t="str">
        <x:v>Độ khớp</x:v>
      </x:c>
      <x:c r="O4" s="20" t="str">
        <x:v>Lý do phân lớp</x:v>
      </x:c>
      <x:c r="P4" s="21" t="str">
        <x:v>Status nguồn</x:v>
      </x:c>
    </x:row>
    <x:row r="5">
      <x:c r="A5" s="35" t="n">
        <x:v>1</x:v>
      </x:c>
      <x:c r="B5" s="25" t="str">
        <x:v>Prekids01</x:v>
      </x:c>
      <x:c r="C5" s="25" t="str">
        <x:v>Tiền tiểu học</x:v>
      </x:c>
      <x:c r="D5" s="25" t="str">
        <x:v>Active</x:v>
      </x:c>
      <x:c r="E5" s="25" t="str">
        <x:v>Minh Khang (ôn hè)</x:v>
      </x:c>
      <x:c r="F5" s="52"/>
      <x:c r="G5" s="25" t="str">
        <x:v>T2-T6</x:v>
      </x:c>
      <x:c r="H5" s="50" t="n">
        <x:v>46192</x:v>
      </x:c>
      <x:c r="I5" s="54" t="n">
        <x:v>3</x:v>
      </x:c>
      <x:c r="J5" s="54" t="n">
        <x:v>4</x:v>
      </x:c>
      <x:c r="K5" s="54" t="n">
        <x:v>7</x:v>
      </x:c>
      <x:c r="L5" s="25" t="str">
        <x:v>Đang học</x:v>
      </x:c>
      <x:c r="M5" s="45" t="str">
        <x:v>Học phẩm 300 · 150k/buổi</x:v>
      </x:c>
      <x:c r="N5" s="45" t="str">
        <x:v>Khớp gần</x:v>
      </x:c>
      <x:c r="O5" s="45" t="str">
        <x:v>Lịch T2-T6 khớp ngày T2</x:v>
      </x:c>
      <x:c r="P5" s="25" t="str">
        <x:v>Active</x:v>
      </x:c>
    </x:row>
    <x:row r="6">
      <x:c r="A6" s="36" t="n">
        <x:v>2</x:v>
      </x:c>
      <x:c r="B6" s="26" t="str">
        <x:v>Prekids01</x:v>
      </x:c>
      <x:c r="C6" s="26" t="str">
        <x:v>Tiền tiểu học</x:v>
      </x:c>
      <x:c r="D6" s="26" t="str">
        <x:v>Active</x:v>
      </x:c>
      <x:c r="E6" s="26" t="str">
        <x:v>Minh Khôi</x:v>
      </x:c>
      <x:c r="F6" s="53" t="n">
        <x:v>2020</x:v>
      </x:c>
      <x:c r="G6" s="26" t="str">
        <x:v>T2-T3-T4-T5</x:v>
      </x:c>
      <x:c r="H6" s="51" t="n">
        <x:v>46175</x:v>
      </x:c>
      <x:c r="I6" s="55" t="n">
        <x:v>9</x:v>
      </x:c>
      <x:c r="J6" s="55" t="n">
        <x:v>11</x:v>
      </x:c>
      <x:c r="K6" s="55" t="n">
        <x:v>20</x:v>
      </x:c>
      <x:c r="L6" s="26" t="str">
        <x:v>Đang học</x:v>
      </x:c>
      <x:c r="M6" s="46" t="str"/>
      <x:c r="N6" s="46" t="str">
        <x:v>Tạm phân</x:v>
      </x:c>
      <x:c r="O6" s="46" t="str">
        <x:v>Lịch có cả T2-T5 và T3-T5; ưu tiên cặp T2-T5</x:v>
      </x:c>
      <x:c r="P6" s="26" t="str">
        <x:v>Active</x:v>
      </x:c>
    </x:row>
    <x:row r="7">
      <x:c r="A7" s="36" t="n">
        <x:v>3</x:v>
      </x:c>
      <x:c r="B7" s="26" t="str">
        <x:v>Prekids01</x:v>
      </x:c>
      <x:c r="C7" s="26" t="str">
        <x:v>Tiền tiểu học</x:v>
      </x:c>
      <x:c r="D7" s="26" t="str">
        <x:v>Active</x:v>
      </x:c>
      <x:c r="E7" s="26" t="str">
        <x:v>Nguyễn Minh Anh</x:v>
      </x:c>
      <x:c r="F7" s="53" t="n">
        <x:v>2020</x:v>
      </x:c>
      <x:c r="G7" s="26" t="str">
        <x:v>T2-T5</x:v>
      </x:c>
      <x:c r="H7" s="51" t="n">
        <x:v>46174</x:v>
      </x:c>
      <x:c r="I7" s="55" t="n">
        <x:v>9</x:v>
      </x:c>
      <x:c r="J7" s="55" t="n">
        <x:v>5</x:v>
      </x:c>
      <x:c r="K7" s="55" t="n">
        <x:v>14</x:v>
      </x:c>
      <x:c r="L7" s="26" t="str">
        <x:v>Đang học</x:v>
      </x:c>
      <x:c r="M7" s="46" t="str">
        <x:v>sách</x:v>
      </x:c>
      <x:c r="N7" s="46" t="str">
        <x:v>Khớp chính xác</x:v>
      </x:c>
      <x:c r="O7" s="46" t="str">
        <x:v>Lịch T2-T5 trùng lớp chuẩn</x:v>
      </x:c>
      <x:c r="P7" s="26" t="str">
        <x:v>Active</x:v>
      </x:c>
    </x:row>
    <x:row r="8">
      <x:c r="A8" s="36" t="n">
        <x:v>4</x:v>
      </x:c>
      <x:c r="B8" s="26" t="str">
        <x:v>Prekids01</x:v>
      </x:c>
      <x:c r="C8" s="26" t="str">
        <x:v>Tiền tiểu học</x:v>
      </x:c>
      <x:c r="D8" s="26" t="str">
        <x:v>Active</x:v>
      </x:c>
      <x:c r="E8" s="26" t="str">
        <x:v>Quang Vinh</x:v>
      </x:c>
      <x:c r="F8" s="53" t="n">
        <x:v>2020</x:v>
      </x:c>
      <x:c r="G8" s="26" t="str">
        <x:v>T4</x:v>
      </x:c>
      <x:c r="H8" s="51" t="n">
        <x:v>46176</x:v>
      </x:c>
      <x:c r="I8" s="55" t="n">
        <x:v>6</x:v>
      </x:c>
      <x:c r="J8" s="55" t="n">
        <x:v>2</x:v>
      </x:c>
      <x:c r="K8" s="55" t="n">
        <x:v>8</x:v>
      </x:c>
      <x:c r="L8" s="26" t="str">
        <x:v>Đang học</x:v>
      </x:c>
      <x:c r="M8" s="46" t="str">
        <x:v>Đi Thụy Sĩ</x:v>
      </x:c>
      <x:c r="N8" s="46" t="str">
        <x:v>Tạm phân</x:v>
      </x:c>
      <x:c r="O8" s="46" t="str">
        <x:v>Lịch T4 không trùng lớp chuẩn; cần cô xác nhận</x:v>
      </x:c>
      <x:c r="P8" s="26" t="str">
        <x:v>Active</x:v>
      </x:c>
    </x:row>
    <x:row r="9">
      <x:c r="A9" s="36" t="n">
        <x:v>5</x:v>
      </x:c>
      <x:c r="B9" s="26" t="str">
        <x:v>Prekids01</x:v>
      </x:c>
      <x:c r="C9" s="26" t="str">
        <x:v>Tiền tiểu học</x:v>
      </x:c>
      <x:c r="D9" s="26" t="str">
        <x:v>Active</x:v>
      </x:c>
      <x:c r="E9" s="26" t="str">
        <x:v>Quân Boong</x:v>
      </x:c>
      <x:c r="F9" s="53" t="n">
        <x:v>2021</x:v>
      </x:c>
      <x:c r="G9" s="26" t="str">
        <x:v>T2-T4</x:v>
      </x:c>
      <x:c r="H9" s="51" t="n">
        <x:v>46174</x:v>
      </x:c>
      <x:c r="I9" s="55" t="n">
        <x:v>8</x:v>
      </x:c>
      <x:c r="J9" s="55" t="n">
        <x:v>6</x:v>
      </x:c>
      <x:c r="K9" s="55" t="n">
        <x:v>14</x:v>
      </x:c>
      <x:c r="L9" s="26" t="str">
        <x:v>Đang học</x:v>
      </x:c>
      <x:c r="M9" s="46" t="str"/>
      <x:c r="N9" s="46" t="str">
        <x:v>Khớp gần</x:v>
      </x:c>
      <x:c r="O9" s="46" t="str">
        <x:v>Lịch T2-T4 khớp ngày T2</x:v>
      </x:c>
      <x:c r="P9" s="26" t="str">
        <x:v>Active</x:v>
      </x:c>
    </x:row>
    <x:row r="10">
      <x:c r="A10" s="36" t="n">
        <x:v>6</x:v>
      </x:c>
      <x:c r="B10" s="26" t="str">
        <x:v>Prekids01</x:v>
      </x:c>
      <x:c r="C10" s="26" t="str">
        <x:v>Tiền tiểu học</x:v>
      </x:c>
      <x:c r="D10" s="26" t="str">
        <x:v>Deactive</x:v>
      </x:c>
      <x:c r="E10" s="26" t="str">
        <x:v>Đức Anh (Shin)</x:v>
      </x:c>
      <x:c r="F10" s="53" t="n">
        <x:v>2020</x:v>
      </x:c>
      <x:c r="G10" s="26" t="str">
        <x:v>T2-T3-T4-T5</x:v>
      </x:c>
      <x:c r="H10" s="51" t="n">
        <x:v>46177</x:v>
      </x:c>
      <x:c r="I10" s="55" t="n">
        <x:v>4</x:v>
      </x:c>
      <x:c r="J10" s="55" t="n">
        <x:v>0</x:v>
      </x:c>
      <x:c r="K10" s="55" t="n">
        <x:v>4</x:v>
      </x:c>
      <x:c r="L10" s="26" t="str">
        <x:v>Nghỉ / chưa có buổi</x:v>
      </x:c>
      <x:c r="M10" s="46" t="str">
        <x:v>Học phẩm 150 · Tháng 7 chưa có buổi nào</x:v>
      </x:c>
      <x:c r="N10" s="46" t="str">
        <x:v>Tạm phân</x:v>
      </x:c>
      <x:c r="O10" s="46" t="str">
        <x:v>Lịch có cả T2-T5 và T3-T5; tạm giữ cùng nhóm Minh Khôi</x:v>
      </x:c>
      <x:c r="P10" s="26" t="str">
        <x:v>Deactive</x:v>
      </x:c>
    </x:row>
    <x:row r="11">
      <x:c r="A11" s="36" t="n">
        <x:v>7</x:v>
      </x:c>
      <x:c r="B11" s="26" t="str">
        <x:v>Prekids01</x:v>
      </x:c>
      <x:c r="C11" s="26" t="str">
        <x:v>Tiền tiểu học</x:v>
      </x:c>
      <x:c r="D11" s="26" t="str">
        <x:v>Deactive</x:v>
      </x:c>
      <x:c r="E11" s="26" t="str">
        <x:v>Minh Quang (Gấu)</x:v>
      </x:c>
      <x:c r="F11" s="53" t="n">
        <x:v>2020</x:v>
      </x:c>
      <x:c r="G11" s="26" t="str">
        <x:v>T2-T4</x:v>
      </x:c>
      <x:c r="H11" s="51" t="n">
        <x:v>46181</x:v>
      </x:c>
      <x:c r="I11" s="55" t="n">
        <x:v>7</x:v>
      </x:c>
      <x:c r="J11" s="55" t="n">
        <x:v>1</x:v>
      </x:c>
      <x:c r="K11" s="55" t="n">
        <x:v>8</x:v>
      </x:c>
      <x:c r="L11" s="26" t="str">
        <x:v>Đang học</x:v>
      </x:c>
      <x:c r="M11" s="46" t="str">
        <x:v>Học phẩm 150</x:v>
      </x:c>
      <x:c r="N11" s="46" t="str">
        <x:v>Khớp gần</x:v>
      </x:c>
      <x:c r="O11" s="46" t="str">
        <x:v>Lịch T2-T4 khớp ngày T2</x:v>
      </x:c>
      <x:c r="P11" s="26" t="str">
        <x:v>Deactive</x:v>
      </x:c>
    </x:row>
    <x:row r="12">
      <x:c r="A12" s="36" t="n">
        <x:v>8</x:v>
      </x:c>
      <x:c r="B12" s="26" t="str">
        <x:v>Prekids02</x:v>
      </x:c>
      <x:c r="C12" s="26" t="str">
        <x:v>Tiền tiểu học</x:v>
      </x:c>
      <x:c r="D12" s="26" t="str">
        <x:v>Active</x:v>
      </x:c>
      <x:c r="E12" s="26" t="str">
        <x:v>Bảo Anh (Nấm)</x:v>
      </x:c>
      <x:c r="F12" s="53" t="n">
        <x:v>2020</x:v>
      </x:c>
      <x:c r="G12" s="26" t="str">
        <x:v>T3-T5</x:v>
      </x:c>
      <x:c r="H12" s="51" t="n">
        <x:v>46175</x:v>
      </x:c>
      <x:c r="I12" s="55" t="n">
        <x:v>1</x:v>
      </x:c>
      <x:c r="J12" s="55" t="n">
        <x:v>4</x:v>
      </x:c>
      <x:c r="K12" s="55" t="n">
        <x:v>5</x:v>
      </x:c>
      <x:c r="L12" s="26" t="str">
        <x:v>Đang học</x:v>
      </x:c>
      <x:c r="M12" s="46" t="str">
        <x:v>Còn 1 buổi tháng 6 + sách</x:v>
      </x:c>
      <x:c r="N12" s="46" t="str">
        <x:v>Khớp chính xác</x:v>
      </x:c>
      <x:c r="O12" s="46" t="str">
        <x:v>Lịch T3-T5 trùng lớp chuẩn</x:v>
      </x:c>
      <x:c r="P12" s="26" t="str">
        <x:v>Active</x:v>
      </x:c>
    </x:row>
    <x:row r="13">
      <x:c r="A13" s="36" t="n">
        <x:v>9</x:v>
      </x:c>
      <x:c r="B13" s="26" t="str">
        <x:v>Prekids02</x:v>
      </x:c>
      <x:c r="C13" s="26" t="str">
        <x:v>Tiền tiểu học</x:v>
      </x:c>
      <x:c r="D13" s="26" t="str">
        <x:v>Active</x:v>
      </x:c>
      <x:c r="E13" s="26" t="str">
        <x:v>Kem</x:v>
      </x:c>
      <x:c r="F13" s="53" t="n">
        <x:v>2020</x:v>
      </x:c>
      <x:c r="G13" s="26" t="str">
        <x:v>T3-T5-T7</x:v>
      </x:c>
      <x:c r="H13" s="51" t="n">
        <x:v>46175</x:v>
      </x:c>
      <x:c r="I13" s="55" t="n">
        <x:v>10</x:v>
      </x:c>
      <x:c r="J13" s="55" t="n">
        <x:v>8</x:v>
      </x:c>
      <x:c r="K13" s="55" t="n">
        <x:v>18</x:v>
      </x:c>
      <x:c r="L13" s="26" t="str">
        <x:v>Đang học</x:v>
      </x:c>
      <x:c r="M13" s="46" t="str"/>
      <x:c r="N13" s="46" t="str">
        <x:v>Tạm phân</x:v>
      </x:c>
      <x:c r="O13" s="46" t="str">
        <x:v>Lịch T3-T5-T7 khớp cả Prekids02 và Prekids03; ưu tiên T3-T5</x:v>
      </x:c>
      <x:c r="P13" s="26" t="str">
        <x:v>Active</x:v>
      </x:c>
    </x:row>
    <x:row r="14">
      <x:c r="A14" s="36" t="n">
        <x:v>10</x:v>
      </x:c>
      <x:c r="B14" s="26" t="str">
        <x:v>Prekids02</x:v>
      </x:c>
      <x:c r="C14" s="26" t="str">
        <x:v>Tiền tiểu học</x:v>
      </x:c>
      <x:c r="D14" s="26" t="str">
        <x:v>Active</x:v>
      </x:c>
      <x:c r="E14" s="26" t="str">
        <x:v>Nguyễn Bảo Hà</x:v>
      </x:c>
      <x:c r="F14" s="53" t="n">
        <x:v>2020</x:v>
      </x:c>
      <x:c r="G14" s="26" t="str">
        <x:v>T3-T5</x:v>
      </x:c>
      <x:c r="H14" s="51" t="n">
        <x:v>46175</x:v>
      </x:c>
      <x:c r="I14" s="55" t="n">
        <x:v>9</x:v>
      </x:c>
      <x:c r="J14" s="55" t="n">
        <x:v>5</x:v>
      </x:c>
      <x:c r="K14" s="55" t="n">
        <x:v>14</x:v>
      </x:c>
      <x:c r="L14" s="26" t="str">
        <x:v>Đang học</x:v>
      </x:c>
      <x:c r="M14" s="46" t="str">
        <x:v>sách</x:v>
      </x:c>
      <x:c r="N14" s="46" t="str">
        <x:v>Khớp chính xác</x:v>
      </x:c>
      <x:c r="O14" s="46" t="str">
        <x:v>Lịch T3-T5 trùng lớp chuẩn</x:v>
      </x:c>
      <x:c r="P14" s="26" t="str">
        <x:v>Active</x:v>
      </x:c>
    </x:row>
    <x:row r="15">
      <x:c r="A15" s="36" t="n">
        <x:v>11</x:v>
      </x:c>
      <x:c r="B15" s="26" t="str">
        <x:v>Prekids02</x:v>
      </x:c>
      <x:c r="C15" s="26" t="str">
        <x:v>Tiền tiểu học</x:v>
      </x:c>
      <x:c r="D15" s="26" t="str">
        <x:v>Deactive</x:v>
      </x:c>
      <x:c r="E15" s="26" t="str">
        <x:v>Bảo Anh (ôn hè)</x:v>
      </x:c>
      <x:c r="F15" s="53"/>
      <x:c r="G15" s="26" t="str">
        <x:v>T3-T5</x:v>
      </x:c>
      <x:c r="H15" s="51" t="n">
        <x:v>46182</x:v>
      </x:c>
      <x:c r="I15" s="55" t="n">
        <x:v>5</x:v>
      </x:c>
      <x:c r="J15" s="55" t="n">
        <x:v>3</x:v>
      </x:c>
      <x:c r="K15" s="55" t="n">
        <x:v>8</x:v>
      </x:c>
      <x:c r="L15" s="26" t="str">
        <x:v>Đang học</x:v>
      </x:c>
      <x:c r="M15" s="46" t="str"/>
      <x:c r="N15" s="46" t="str">
        <x:v>Khớp chính xác</x:v>
      </x:c>
      <x:c r="O15" s="46" t="str">
        <x:v>Lịch T3-T5 trùng lớp chuẩn</x:v>
      </x:c>
      <x:c r="P15" s="26" t="str">
        <x:v>Deactive</x:v>
      </x:c>
    </x:row>
    <x:row r="16">
      <x:c r="A16" s="36" t="n">
        <x:v>12</x:v>
      </x:c>
      <x:c r="B16" s="26" t="str">
        <x:v>Prekids02</x:v>
      </x:c>
      <x:c r="C16" s="26" t="str">
        <x:v>Tiền tiểu học</x:v>
      </x:c>
      <x:c r="D16" s="26" t="str">
        <x:v>Deactive</x:v>
      </x:c>
      <x:c r="E16" s="26" t="str">
        <x:v>Hà Anh (ôn hè)</x:v>
      </x:c>
      <x:c r="F16" s="53"/>
      <x:c r="G16" s="26" t="str">
        <x:v>T3-T5</x:v>
      </x:c>
      <x:c r="H16" s="51" t="n">
        <x:v>46182</x:v>
      </x:c>
      <x:c r="I16" s="55" t="n">
        <x:v>5</x:v>
      </x:c>
      <x:c r="J16" s="55" t="n">
        <x:v>3</x:v>
      </x:c>
      <x:c r="K16" s="55" t="n">
        <x:v>8</x:v>
      </x:c>
      <x:c r="L16" s="26" t="str">
        <x:v>Đang học</x:v>
      </x:c>
      <x:c r="M16" s="46" t="str"/>
      <x:c r="N16" s="46" t="str">
        <x:v>Khớp chính xác</x:v>
      </x:c>
      <x:c r="O16" s="46" t="str">
        <x:v>Lịch T3-T5 trùng lớp chuẩn</x:v>
      </x:c>
      <x:c r="P16" s="26" t="str">
        <x:v>Deactive</x:v>
      </x:c>
    </x:row>
    <x:row r="17">
      <x:c r="A17" s="36" t="n">
        <x:v>13</x:v>
      </x:c>
      <x:c r="B17" s="26" t="str">
        <x:v>Prekids02</x:v>
      </x:c>
      <x:c r="C17" s="26" t="str">
        <x:v>Tiền tiểu học</x:v>
      </x:c>
      <x:c r="D17" s="26" t="str">
        <x:v>Deactive</x:v>
      </x:c>
      <x:c r="E17" s="26" t="str">
        <x:v>Huyền Anh (ôn hè)</x:v>
      </x:c>
      <x:c r="F17" s="53"/>
      <x:c r="G17" s="26" t="str">
        <x:v>T3-T5</x:v>
      </x:c>
      <x:c r="H17" s="51" t="n">
        <x:v>46191</x:v>
      </x:c>
      <x:c r="I17" s="55" t="n">
        <x:v>6</x:v>
      </x:c>
      <x:c r="J17" s="55" t="n">
        <x:v>0</x:v>
      </x:c>
      <x:c r="K17" s="55" t="n">
        <x:v>6</x:v>
      </x:c>
      <x:c r="L17" s="26" t="str">
        <x:v>Nghỉ / chưa có buổi</x:v>
      </x:c>
      <x:c r="M17" s="46" t="str">
        <x:v>Không có tên trong tháng 7</x:v>
      </x:c>
      <x:c r="N17" s="46" t="str">
        <x:v>Khớp chính xác</x:v>
      </x:c>
      <x:c r="O17" s="46" t="str">
        <x:v>Lịch T3-T5 trùng lớp chuẩn</x:v>
      </x:c>
      <x:c r="P17" s="26" t="str">
        <x:v>Deactive</x:v>
      </x:c>
    </x:row>
    <x:row r="18">
      <x:c r="A18" s="36" t="n">
        <x:v>14</x:v>
      </x:c>
      <x:c r="B18" s="26" t="str">
        <x:v>Prekids02</x:v>
      </x:c>
      <x:c r="C18" s="26" t="str">
        <x:v>Tiền tiểu học</x:v>
      </x:c>
      <x:c r="D18" s="26" t="str">
        <x:v>Deactive</x:v>
      </x:c>
      <x:c r="E18" s="26" t="str">
        <x:v>Phạm Hà Dương</x:v>
      </x:c>
      <x:c r="F18" s="53" t="n">
        <x:v>2020</x:v>
      </x:c>
      <x:c r="G18" s="26" t="str">
        <x:v>T3-T5</x:v>
      </x:c>
      <x:c r="H18" s="51" t="n">
        <x:v>46175</x:v>
      </x:c>
      <x:c r="I18" s="55" t="n">
        <x:v>9</x:v>
      </x:c>
      <x:c r="J18" s="55" t="n">
        <x:v>0</x:v>
      </x:c>
      <x:c r="K18" s="55" t="n">
        <x:v>9</x:v>
      </x:c>
      <x:c r="L18" s="26" t="str">
        <x:v>Nghỉ / chưa có buổi</x:v>
      </x:c>
      <x:c r="M18" s="46" t="str">
        <x:v>Không có tên trong tháng 7</x:v>
      </x:c>
      <x:c r="N18" s="46" t="str">
        <x:v>Khớp chính xác</x:v>
      </x:c>
      <x:c r="O18" s="46" t="str">
        <x:v>Lịch cũ T3-T5; giữ cả học sinh đã nghỉ</x:v>
      </x:c>
      <x:c r="P18" s="26" t="str">
        <x:v>Deactive</x:v>
      </x:c>
    </x:row>
    <x:row r="19">
      <x:c r="A19" s="36" t="n">
        <x:v>15</x:v>
      </x:c>
      <x:c r="B19" s="26" t="str">
        <x:v>Prekids03</x:v>
      </x:c>
      <x:c r="C19" s="26" t="str">
        <x:v>Tiền tiểu học</x:v>
      </x:c>
      <x:c r="D19" s="26" t="str">
        <x:v>Active</x:v>
      </x:c>
      <x:c r="E19" s="26" t="str">
        <x:v>Cherry</x:v>
      </x:c>
      <x:c r="F19" s="53"/>
      <x:c r="G19" s="26" t="str">
        <x:v>T7</x:v>
      </x:c>
      <x:c r="H19" s="51" t="n">
        <x:v>46228</x:v>
      </x:c>
      <x:c r="I19" s="55" t="n">
        <x:v>0</x:v>
      </x:c>
      <x:c r="J19" s="55" t="n">
        <x:v>1</x:v>
      </x:c>
      <x:c r="K19" s="55" t="n">
        <x:v>1</x:v>
      </x:c>
      <x:c r="L19" s="26" t="str">
        <x:v>Học viên mới T7</x:v>
      </x:c>
      <x:c r="M19" s="46" t="str">
        <x:v>Học viên mới tháng 7 · sách</x:v>
      </x:c>
      <x:c r="N19" s="46" t="str">
        <x:v>Khớp gần</x:v>
      </x:c>
      <x:c r="O19" s="46" t="str">
        <x:v>Lịch T7 khớp ngày T7</x:v>
      </x:c>
      <x:c r="P19" s="26" t="str">
        <x:v>Active</x:v>
      </x:c>
    </x:row>
    <x:row r="20">
      <x:c r="A20" s="36" t="n">
        <x:v>16</x:v>
      </x:c>
      <x:c r="B20" s="26" t="str">
        <x:v>Prekids03</x:v>
      </x:c>
      <x:c r="C20" s="26" t="str">
        <x:v>Tiền tiểu học</x:v>
      </x:c>
      <x:c r="D20" s="26" t="str">
        <x:v>Active</x:v>
      </x:c>
      <x:c r="E20" s="26" t="str">
        <x:v>Nguyên Đậu</x:v>
      </x:c>
      <x:c r="F20" s="53" t="n">
        <x:v>2021</x:v>
      </x:c>
      <x:c r="G20" s="26" t="str">
        <x:v>T4-T6-T7</x:v>
      </x:c>
      <x:c r="H20" s="51" t="n">
        <x:v>46176</x:v>
      </x:c>
      <x:c r="I20" s="55" t="n">
        <x:v>7</x:v>
      </x:c>
      <x:c r="J20" s="55" t="n">
        <x:v>7</x:v>
      </x:c>
      <x:c r="K20" s="55" t="n">
        <x:v>14</x:v>
      </x:c>
      <x:c r="L20" s="26" t="str">
        <x:v>Đang học</x:v>
      </x:c>
      <x:c r="M20" s="46" t="str">
        <x:v>sách</x:v>
      </x:c>
      <x:c r="N20" s="46" t="str">
        <x:v>Khớp gần</x:v>
      </x:c>
      <x:c r="O20" s="46" t="str">
        <x:v>Lịch T4-T6-T7 khớp ngày T7</x:v>
      </x:c>
      <x:c r="P20" s="26" t="str">
        <x:v>Active</x:v>
      </x:c>
    </x:row>
    <x:row r="21">
      <x:c r="A21" s="36" t="n">
        <x:v>17</x:v>
      </x:c>
      <x:c r="B21" s="26" t="str">
        <x:v>Prekids03</x:v>
      </x:c>
      <x:c r="C21" s="26" t="str">
        <x:v>Tiền tiểu học</x:v>
      </x:c>
      <x:c r="D21" s="26" t="str">
        <x:v>Active</x:v>
      </x:c>
      <x:c r="E21" s="26" t="str">
        <x:v>Phương My (Sữa)</x:v>
      </x:c>
      <x:c r="F21" s="53" t="n">
        <x:v>2020</x:v>
      </x:c>
      <x:c r="G21" s="26" t="str">
        <x:v>T3-T4-T7</x:v>
      </x:c>
      <x:c r="H21" s="51" t="n">
        <x:v>46176</x:v>
      </x:c>
      <x:c r="I21" s="55" t="n">
        <x:v>6</x:v>
      </x:c>
      <x:c r="J21" s="55" t="n">
        <x:v>4</x:v>
      </x:c>
      <x:c r="K21" s="55" t="n">
        <x:v>10</x:v>
      </x:c>
      <x:c r="L21" s="26" t="str">
        <x:v>Đang học</x:v>
      </x:c>
      <x:c r="M21" s="46" t="str">
        <x:v>sách</x:v>
      </x:c>
      <x:c r="N21" s="46" t="str">
        <x:v>Khớp gần</x:v>
      </x:c>
      <x:c r="O21" s="46" t="str">
        <x:v>Lịch T3-T4-T7 chứa đủ T3-T7</x:v>
      </x:c>
      <x:c r="P21" s="26" t="str">
        <x:v>Active</x:v>
      </x:c>
    </x:row>
    <x:row r="22">
      <x:c r="A22" s="36" t="n">
        <x:v>18</x:v>
      </x:c>
      <x:c r="B22" s="26" t="str">
        <x:v>Prekids03</x:v>
      </x:c>
      <x:c r="C22" s="26" t="str">
        <x:v>Tiền tiểu học</x:v>
      </x:c>
      <x:c r="D22" s="26" t="str">
        <x:v>Deactive</x:v>
      </x:c>
      <x:c r="E22" s="26" t="str">
        <x:v>Nguyễn Minh Ngọc</x:v>
      </x:c>
      <x:c r="F22" s="53" t="n">
        <x:v>2020</x:v>
      </x:c>
      <x:c r="G22" s="26" t="str">
        <x:v>T6-T7</x:v>
      </x:c>
      <x:c r="H22" s="51" t="n">
        <x:v>46178</x:v>
      </x:c>
      <x:c r="I22" s="55" t="n">
        <x:v>6</x:v>
      </x:c>
      <x:c r="J22" s="55" t="n">
        <x:v>8</x:v>
      </x:c>
      <x:c r="K22" s="55" t="n">
        <x:v>14</x:v>
      </x:c>
      <x:c r="L22" s="26" t="str">
        <x:v>Đang học</x:v>
      </x:c>
      <x:c r="M22" s="46" t="str">
        <x:v>sách</x:v>
      </x:c>
      <x:c r="N22" s="46" t="str">
        <x:v>Khớp gần</x:v>
      </x:c>
      <x:c r="O22" s="46" t="str">
        <x:v>Lịch T6-T7 chỉ khớp ngày T7</x:v>
      </x:c>
      <x:c r="P22" s="26" t="str">
        <x:v>Deactive</x:v>
      </x:c>
    </x:row>
    <x:row r="23">
      <x:c r="A23" s="36" t="n">
        <x:v>19</x:v>
      </x:c>
      <x:c r="B23" s="26" t="str">
        <x:v>LCD001</x:v>
      </x:c>
      <x:c r="C23" s="26" t="str">
        <x:v>Luyện viết chữ đẹp</x:v>
      </x:c>
      <x:c r="D23" s="26" t="str">
        <x:v>Active</x:v>
      </x:c>
      <x:c r="E23" s="26" t="str">
        <x:v>Nguyễn Nam Khang</x:v>
      </x:c>
      <x:c r="F23" s="53" t="n">
        <x:v>2012</x:v>
      </x:c>
      <x:c r="G23" s="26" t="str">
        <x:v>T2-T4 · 8h30-10h</x:v>
      </x:c>
      <x:c r="H23" s="51" t="n">
        <x:v>46174</x:v>
      </x:c>
      <x:c r="I23" s="55" t="n">
        <x:v>9</x:v>
      </x:c>
      <x:c r="J23" s="55" t="n">
        <x:v>9</x:v>
      </x:c>
      <x:c r="K23" s="55" t="n">
        <x:v>18</x:v>
      </x:c>
      <x:c r="L23" s="26" t="str">
        <x:v>Đang học</x:v>
      </x:c>
      <x:c r="M23" s="46" t="str"/>
      <x:c r="N23" s="46" t="str">
        <x:v>Khớp chính xác</x:v>
      </x:c>
      <x:c r="O23" s="46" t="str">
        <x:v>Ca sáng T2-T4 trùng lớp chuẩn</x:v>
      </x:c>
      <x:c r="P23" s="26" t="str">
        <x:v>Active</x:v>
      </x:c>
    </x:row>
    <x:row r="24">
      <x:c r="A24" s="36" t="n">
        <x:v>20</x:v>
      </x:c>
      <x:c r="B24" s="26" t="str">
        <x:v>LCD001</x:v>
      </x:c>
      <x:c r="C24" s="26" t="str">
        <x:v>Luyện viết chữ đẹp</x:v>
      </x:c>
      <x:c r="D24" s="26" t="str">
        <x:v>Active</x:v>
      </x:c>
      <x:c r="E24" s="26" t="str">
        <x:v>Phùng Minh Quang</x:v>
      </x:c>
      <x:c r="F24" s="53" t="n">
        <x:v>2015</x:v>
      </x:c>
      <x:c r="G24" s="26" t="str">
        <x:v>T3-T5 · 8h30-10h | thực tế T2-T4</x:v>
      </x:c>
      <x:c r="H24" s="51" t="n">
        <x:v>46175</x:v>
      </x:c>
      <x:c r="I24" s="55" t="n">
        <x:v>8</x:v>
      </x:c>
      <x:c r="J24" s="55" t="n">
        <x:v>9</x:v>
      </x:c>
      <x:c r="K24" s="55" t="n">
        <x:v>17</x:v>
      </x:c>
      <x:c r="L24" s="26" t="str">
        <x:v>Đang học</x:v>
      </x:c>
      <x:c r="M24" s="46" t="str">
        <x:v>Mẹ Nga Lee</x:v>
      </x:c>
      <x:c r="N24" s="46" t="str">
        <x:v>Khớp chính xác</x:v>
      </x:c>
      <x:c r="O24" s="46" t="str">
        <x:v>Ưu tiên lịch thực tế T2-T4</x:v>
      </x:c>
      <x:c r="P24" s="26" t="str">
        <x:v>Active</x:v>
      </x:c>
    </x:row>
    <x:row r="25">
      <x:c r="A25" s="36" t="n">
        <x:v>21</x:v>
      </x:c>
      <x:c r="B25" s="26" t="str">
        <x:v>LCD001</x:v>
      </x:c>
      <x:c r="C25" s="26" t="str">
        <x:v>Luyện viết chữ đẹp</x:v>
      </x:c>
      <x:c r="D25" s="26" t="str">
        <x:v>Active</x:v>
      </x:c>
      <x:c r="E25" s="26" t="str">
        <x:v>Trần Đức Khôi</x:v>
      </x:c>
      <x:c r="F25" s="53" t="n">
        <x:v>2019</x:v>
      </x:c>
      <x:c r="G25" s="26" t="str">
        <x:v>T2-T4 · 8h30-10h</x:v>
      </x:c>
      <x:c r="H25" s="51" t="n">
        <x:v>46174</x:v>
      </x:c>
      <x:c r="I25" s="55" t="n">
        <x:v>9</x:v>
      </x:c>
      <x:c r="J25" s="55" t="n">
        <x:v>1</x:v>
      </x:c>
      <x:c r="K25" s="55" t="n">
        <x:v>10</x:v>
      </x:c>
      <x:c r="L25" s="26" t="str">
        <x:v>Đang học</x:v>
      </x:c>
      <x:c r="M25" s="46" t="str"/>
      <x:c r="N25" s="46" t="str">
        <x:v>Khớp chính xác</x:v>
      </x:c>
      <x:c r="O25" s="46" t="str">
        <x:v>Ca sáng T2-T4 trùng lớp chuẩn</x:v>
      </x:c>
      <x:c r="P25" s="26" t="str">
        <x:v>Active</x:v>
      </x:c>
    </x:row>
    <x:row r="26">
      <x:c r="A26" s="36" t="n">
        <x:v>22</x:v>
      </x:c>
      <x:c r="B26" s="26" t="str">
        <x:v>LCD001</x:v>
      </x:c>
      <x:c r="C26" s="26" t="str">
        <x:v>Luyện viết chữ đẹp</x:v>
      </x:c>
      <x:c r="D26" s="26" t="str">
        <x:v>Active</x:v>
      </x:c>
      <x:c r="E26" s="26" t="str">
        <x:v>Trần Quốc Bảo</x:v>
      </x:c>
      <x:c r="F26" s="53" t="n">
        <x:v>2019</x:v>
      </x:c>
      <x:c r="G26" s="26" t="str">
        <x:v>T2-T4 · 8h30-10h</x:v>
      </x:c>
      <x:c r="H26" s="51" t="n">
        <x:v>46174</x:v>
      </x:c>
      <x:c r="I26" s="55" t="n">
        <x:v>8</x:v>
      </x:c>
      <x:c r="J26" s="55" t="n">
        <x:v>5</x:v>
      </x:c>
      <x:c r="K26" s="55" t="n">
        <x:v>13</x:v>
      </x:c>
      <x:c r="L26" s="26" t="str">
        <x:v>Đang học</x:v>
      </x:c>
      <x:c r="M26" s="46" t="str">
        <x:v>Mẹ Tâm Nguyễn</x:v>
      </x:c>
      <x:c r="N26" s="46" t="str">
        <x:v>Khớp chính xác</x:v>
      </x:c>
      <x:c r="O26" s="46" t="str">
        <x:v>Ca sáng T2-T4 trùng lớp chuẩn</x:v>
      </x:c>
      <x:c r="P26" s="26" t="str">
        <x:v>Active</x:v>
      </x:c>
    </x:row>
    <x:row r="27">
      <x:c r="A27" s="36" t="n">
        <x:v>23</x:v>
      </x:c>
      <x:c r="B27" s="26" t="str">
        <x:v>LCD001</x:v>
      </x:c>
      <x:c r="C27" s="26" t="str">
        <x:v>Luyện viết chữ đẹp</x:v>
      </x:c>
      <x:c r="D27" s="26" t="str">
        <x:v>Active</x:v>
      </x:c>
      <x:c r="E27" s="26" t="str">
        <x:v>Trịnh Ngọc Gia Hân</x:v>
      </x:c>
      <x:c r="F27" s="53" t="n">
        <x:v>2014</x:v>
      </x:c>
      <x:c r="G27" s="26" t="str">
        <x:v>T2-T4 · 8h30-10h</x:v>
      </x:c>
      <x:c r="H27" s="51" t="n">
        <x:v>46204</x:v>
      </x:c>
      <x:c r="I27" s="55" t="n">
        <x:v>0</x:v>
      </x:c>
      <x:c r="J27" s="55" t="n">
        <x:v>8</x:v>
      </x:c>
      <x:c r="K27" s="55" t="n">
        <x:v>8</x:v>
      </x:c>
      <x:c r="L27" s="26" t="str">
        <x:v>Học viên mới T7</x:v>
      </x:c>
      <x:c r="M27" s="46" t="str">
        <x:v>Mẹ Mai Trần</x:v>
      </x:c>
      <x:c r="N27" s="46" t="str">
        <x:v>Khớp chính xác</x:v>
      </x:c>
      <x:c r="O27" s="46" t="str">
        <x:v>Ca sáng T2-T4 trùng lớp chuẩn</x:v>
      </x:c>
      <x:c r="P27" s="26" t="str">
        <x:v>Active</x:v>
      </x:c>
    </x:row>
    <x:row r="28">
      <x:c r="A28" s="36" t="n">
        <x:v>24</x:v>
      </x:c>
      <x:c r="B28" s="26" t="str">
        <x:v>LCD002</x:v>
      </x:c>
      <x:c r="C28" s="26" t="str">
        <x:v>Luyện viết chữ đẹp</x:v>
      </x:c>
      <x:c r="D28" s="26" t="str">
        <x:v>Active</x:v>
      </x:c>
      <x:c r="E28" s="26" t="str">
        <x:v>Vũ Nhật Minh</x:v>
      </x:c>
      <x:c r="F28" s="53" t="n">
        <x:v>2014</x:v>
      </x:c>
      <x:c r="G28" s="26" t="str">
        <x:v>T3-T5 · 8h30-10h</x:v>
      </x:c>
      <x:c r="H28" s="51" t="n">
        <x:v>46175</x:v>
      </x:c>
      <x:c r="I28" s="55" t="n">
        <x:v>7</x:v>
      </x:c>
      <x:c r="J28" s="55" t="n">
        <x:v>7</x:v>
      </x:c>
      <x:c r="K28" s="55" t="n">
        <x:v>14</x:v>
      </x:c>
      <x:c r="L28" s="26" t="str">
        <x:v>Đang học</x:v>
      </x:c>
      <x:c r="M28" s="46" t="str">
        <x:v>Mẹ Nguyễn Hương</x:v>
      </x:c>
      <x:c r="N28" s="46" t="str">
        <x:v>Khớp chính xác</x:v>
      </x:c>
      <x:c r="O28" s="46" t="str">
        <x:v>Ca sáng T3-T5 trùng lớp chuẩn</x:v>
      </x:c>
      <x:c r="P28" s="26" t="str">
        <x:v>Active</x:v>
      </x:c>
    </x:row>
    <x:row r="29">
      <x:c r="A29" s="36" t="n">
        <x:v>25</x:v>
      </x:c>
      <x:c r="B29" s="26" t="str">
        <x:v>LCD002</x:v>
      </x:c>
      <x:c r="C29" s="26" t="str">
        <x:v>Luyện viết chữ đẹp</x:v>
      </x:c>
      <x:c r="D29" s="26" t="str">
        <x:v>Deactive</x:v>
      </x:c>
      <x:c r="E29" s="26" t="str">
        <x:v>Vũ Tú Anh</x:v>
      </x:c>
      <x:c r="F29" s="53" t="n">
        <x:v>2019</x:v>
      </x:c>
      <x:c r="G29" s="26" t="str">
        <x:v>T3-T5 · 8h30-10h</x:v>
      </x:c>
      <x:c r="H29" s="51" t="n">
        <x:v>46175</x:v>
      </x:c>
      <x:c r="I29" s="55" t="n">
        <x:v>6</x:v>
      </x:c>
      <x:c r="J29" s="55" t="n">
        <x:v>0</x:v>
      </x:c>
      <x:c r="K29" s="55" t="n">
        <x:v>6</x:v>
      </x:c>
      <x:c r="L29" s="26" t="str">
        <x:v>Nghỉ / dừng giữa khoá</x:v>
      </x:c>
      <x:c r="M29" s="46" t="str"/>
      <x:c r="N29" s="46" t="str">
        <x:v>Khớp chính xác</x:v>
      </x:c>
      <x:c r="O29" s="46" t="str">
        <x:v>Ca sáng T3-T5; giữ cả học sinh đã nghỉ</x:v>
      </x:c>
      <x:c r="P29" s="26" t="str">
        <x:v>Deactive</x:v>
      </x:c>
    </x:row>
    <x:row r="30">
      <x:c r="A30" s="36" t="n">
        <x:v>26</x:v>
      </x:c>
      <x:c r="B30" s="26" t="str">
        <x:v>LCD003</x:v>
      </x:c>
      <x:c r="C30" s="26" t="str">
        <x:v>Luyện viết chữ đẹp</x:v>
      </x:c>
      <x:c r="D30" s="26" t="str">
        <x:v>Active</x:v>
      </x:c>
      <x:c r="E30" s="26" t="str">
        <x:v>Duy Đăng</x:v>
      </x:c>
      <x:c r="F30" s="53" t="n">
        <x:v>2018</x:v>
      </x:c>
      <x:c r="G30" s="26" t="str">
        <x:v>(chưa xếp ca)</x:v>
      </x:c>
      <x:c r="H30" s="51"/>
      <x:c r="I30" s="55" t="n">
        <x:v>0</x:v>
      </x:c>
      <x:c r="J30" s="55" t="n">
        <x:v>0</x:v>
      </x:c>
      <x:c r="K30" s="55" t="n">
        <x:v>0</x:v>
      </x:c>
      <x:c r="L30" s="26" t="str">
        <x:v>Chưa học buổi nào</x:v>
      </x:c>
      <x:c r="M30" s="46" t="str"/>
      <x:c r="N30" s="46" t="str">
        <x:v>Tạm phân</x:v>
      </x:c>
      <x:c r="O30" s="46" t="str">
        <x:v>Chưa có ca; tạm xếp cùng nhóm cũ với Quỳnh Trang</x:v>
      </x:c>
      <x:c r="P30" s="26" t="str">
        <x:v>Active</x:v>
      </x:c>
    </x:row>
    <x:row r="31">
      <x:c r="A31" s="36" t="n">
        <x:v>27</x:v>
      </x:c>
      <x:c r="B31" s="26" t="str">
        <x:v>LCD003</x:v>
      </x:c>
      <x:c r="C31" s="26" t="str">
        <x:v>Luyện viết chữ đẹp</x:v>
      </x:c>
      <x:c r="D31" s="26" t="str">
        <x:v>Active</x:v>
      </x:c>
      <x:c r="E31" s="26" t="str">
        <x:v>Nguyễn Quỳnh Trang</x:v>
      </x:c>
      <x:c r="F31" s="53" t="n">
        <x:v>2019</x:v>
      </x:c>
      <x:c r="G31" s="26" t="str">
        <x:v>(chưa xếp ca) | thực tế T2</x:v>
      </x:c>
      <x:c r="H31" s="51" t="n">
        <x:v>46230</x:v>
      </x:c>
      <x:c r="I31" s="55" t="n">
        <x:v>0</x:v>
      </x:c>
      <x:c r="J31" s="55" t="n">
        <x:v>1</x:v>
      </x:c>
      <x:c r="K31" s="55" t="n">
        <x:v>1</x:v>
      </x:c>
      <x:c r="L31" s="26" t="str">
        <x:v>Học viên mới T7</x:v>
      </x:c>
      <x:c r="M31" s="46" t="str"/>
      <x:c r="N31" s="46" t="str">
        <x:v>Khớp gần</x:v>
      </x:c>
      <x:c r="O31" s="46" t="str">
        <x:v>Lịch thực tế có T2; chưa rõ ca sáng/tối</x:v>
      </x:c>
      <x:c r="P31" s="26" t="str">
        <x:v>Active</x:v>
      </x:c>
    </x:row>
    <x:row r="32">
      <x:c r="A32" s="36" t="n">
        <x:v>28</x:v>
      </x:c>
      <x:c r="B32" s="26" t="str">
        <x:v>LCD004</x:v>
      </x:c>
      <x:c r="C32" s="26" t="str">
        <x:v>Luyện viết chữ đẹp</x:v>
      </x:c>
      <x:c r="D32" s="26" t="str">
        <x:v>Active</x:v>
      </x:c>
      <x:c r="E32" s="26" t="str">
        <x:v>Vũ Quang Hùng</x:v>
      </x:c>
      <x:c r="F32" s="53" t="n">
        <x:v>2018</x:v>
      </x:c>
      <x:c r="G32" s="26" t="str">
        <x:v>T4-T6 · 19h45-21h</x:v>
      </x:c>
      <x:c r="H32" s="51" t="n">
        <x:v>46176</x:v>
      </x:c>
      <x:c r="I32" s="55" t="n">
        <x:v>6</x:v>
      </x:c>
      <x:c r="J32" s="55" t="n">
        <x:v>7</x:v>
      </x:c>
      <x:c r="K32" s="55" t="n">
        <x:v>13</x:v>
      </x:c>
      <x:c r="L32" s="26" t="str">
        <x:v>Đang học</x:v>
      </x:c>
      <x:c r="M32" s="46" t="str"/>
      <x:c r="N32" s="46" t="str">
        <x:v>Khớp chính xác</x:v>
      </x:c>
      <x:c r="O32" s="46" t="str">
        <x:v>Ca tối T4-T6 trùng lớp chuẩn</x:v>
      </x:c>
      <x:c r="P32" s="26" t="str">
        <x:v>Active</x:v>
      </x:c>
    </x:row>
    <x:row r="33">
      <x:c r="A33" s="36" t="n">
        <x:v>29</x:v>
      </x:c>
      <x:c r="B33" s="26" t="str">
        <x:v>LCD005</x:v>
      </x:c>
      <x:c r="C33" s="26" t="str">
        <x:v>Luyện viết chữ đẹp</x:v>
      </x:c>
      <x:c r="D33" s="26" t="str">
        <x:v>Active</x:v>
      </x:c>
      <x:c r="E33" s="26" t="str">
        <x:v>Ngọc Châu</x:v>
      </x:c>
      <x:c r="F33" s="53" t="n">
        <x:v>2018</x:v>
      </x:c>
      <x:c r="G33" s="26" t="str">
        <x:v>T2-T4 · 19h45-21h | thực tế T4-T7</x:v>
      </x:c>
      <x:c r="H33" s="51" t="n">
        <x:v>46176</x:v>
      </x:c>
      <x:c r="I33" s="55" t="n">
        <x:v>3</x:v>
      </x:c>
      <x:c r="J33" s="55" t="n">
        <x:v>7</x:v>
      </x:c>
      <x:c r="K33" s="55" t="n">
        <x:v>10</x:v>
      </x:c>
      <x:c r="L33" s="26" t="str">
        <x:v>Đang học</x:v>
      </x:c>
      <x:c r="M33" s="46" t="str">
        <x:v>Mẹ Dung Phan</x:v>
      </x:c>
      <x:c r="N33" s="46" t="str">
        <x:v>Khớp chính xác</x:v>
      </x:c>
      <x:c r="O33" s="46" t="str">
        <x:v>Ưu tiên lịch thực tế T4-T7 thay cho lịch đăng ký cũ</x:v>
      </x:c>
      <x:c r="P33" s="26" t="str">
        <x:v>Active</x:v>
      </x:c>
    </x:row>
    <x:row r="34">
      <x:c r="A34" s="36" t="n">
        <x:v>30</x:v>
      </x:c>
      <x:c r="B34" s="26" t="str">
        <x:v>LCD005</x:v>
      </x:c>
      <x:c r="C34" s="26" t="str">
        <x:v>Luyện viết chữ đẹp</x:v>
      </x:c>
      <x:c r="D34" s="26" t="str">
        <x:v>Deactive</x:v>
      </x:c>
      <x:c r="E34" s="26" t="str">
        <x:v>Kenry</x:v>
      </x:c>
      <x:c r="F34" s="53"/>
      <x:c r="G34" s="26" t="str">
        <x:v>Lớp chờ tháng 7</x:v>
      </x:c>
      <x:c r="H34" s="51"/>
      <x:c r="I34" s="55" t="n">
        <x:v>0</x:v>
      </x:c>
      <x:c r="J34" s="55" t="n">
        <x:v>0</x:v>
      </x:c>
      <x:c r="K34" s="55" t="n">
        <x:v>0</x:v>
      </x:c>
      <x:c r="L34" s="26" t="str">
        <x:v>Chưa học buổi nào</x:v>
      </x:c>
      <x:c r="M34" s="46" t="str"/>
      <x:c r="N34" s="46" t="str">
        <x:v>Tạm phân</x:v>
      </x:c>
      <x:c r="O34" s="46" t="str">
        <x:v>Chưa có lịch và chưa học; tạm đưa vào lớp chờ LCD005</x:v>
      </x:c>
      <x:c r="P34" s="26" t="str">
        <x:v>Pending</x:v>
      </x:c>
    </x:row>
  </x:sheetData>
  <x:mergeCells>
    <x:mergeCell ref="A1:P1"/>
    <x:mergeCell ref="A2:P2"/>
  </x:mergeCells>
  <x:conditionalFormatting sqref="D5:D34">
    <x:cfRule type="expression" dxfId="0" priority="1">
      <x:formula>$D5="Active"</x:formula>
    </x:cfRule>
    <x:cfRule type="expression" dxfId="1" priority="2">
      <x:formula>$D5="Deactive"</x:formula>
    </x:cfRule>
  </x:conditionalFormatting>
  <x:conditionalFormatting sqref="N5:N34">
    <x:cfRule type="containsText" dxfId="2" priority="3" operator="containsText" text="Tạm phân"/>
  </x:conditionalFormatting>
  <x:dataValidations count="1">
    <x:dataValidation type="list" sqref="D5:D34">
      <x:formula1>"Active,Deactive"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c06974d87843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0.630000114440918" hidden="0" customWidth="1"/>
    <x:col min="3" max="3" width="20.6299991607666" hidden="0" customWidth="1"/>
    <x:col min="4" max="4" width="9.380000114440918" hidden="0" customWidth="1"/>
    <x:col min="5" max="5" width="29.3799991607666" hidden="0" customWidth="1"/>
    <x:col min="6" max="6" width="10" hidden="0" customWidth="1"/>
    <x:col min="7" max="7" width="13.130000114440918" hidden="0" customWidth="1"/>
    <x:col min="8" max="8" width="32.5" hidden="0" customWidth="1"/>
  </x:cols>
  <x:sheetData>
    <x:row r="1" ht="36" customHeight="1">
      <x:c r="A1" s="3" t="str">
        <x:v>  DANH SÁCH RÕ THEO TỪNG LỚP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Mỗi lớp hiển thị Active trước, Deactive sau; số liệu liên kết từ sheet Danh sách học sinh.</x:v>
      </x:c>
      <x:c r="B2" s="7"/>
      <x:c r="C2" s="7"/>
      <x:c r="D2" s="7"/>
      <x:c r="E2" s="7"/>
      <x:c r="F2" s="7"/>
      <x:c r="G2" s="7"/>
      <x:c r="H2" s="7"/>
    </x:row>
    <x:row r="4">
      <x:c r="A4" s="56" t="str">
        <x:v>Prekids01 — Tiền tiểu học — Thứ 2, Thứ 5 · 19:45-21:10 (Tối)</x:v>
      </x:c>
      <x:c r="B4" s="56"/>
      <x:c r="C4" s="56"/>
      <x:c r="D4" s="56"/>
      <x:c r="E4" s="56"/>
      <x:c r="F4" s="56"/>
      <x:c r="G4" s="56"/>
      <x:c r="H4" s="56"/>
    </x:row>
    <x:row r="5" ht="32" customHeight="1">
      <x:c r="A5" s="19" t="str">
        <x:v>STT</x:v>
      </x:c>
      <x:c r="B5" s="20" t="str">
        <x:v>Status</x:v>
      </x:c>
      <x:c r="C5" s="20" t="str">
        <x:v>Họ và tên</x:v>
      </x:c>
      <x:c r="D5" s="20" t="str">
        <x:v>Năm sinh</x:v>
      </x:c>
      <x:c r="E5" s="20" t="str">
        <x:v>Lịch nguồn / thực tế</x:v>
      </x:c>
      <x:c r="F5" s="20" t="str">
        <x:v>Tổng buổi</x:v>
      </x:c>
      <x:c r="G5" s="20" t="str">
        <x:v>Độ khớp</x:v>
      </x:c>
      <x:c r="H5" s="21" t="str">
        <x:v>Ghi chú</x:v>
      </x:c>
    </x:row>
    <x:row r="6">
      <x:c r="A6" s="25" t="n">
        <x:f>1</x:f>
        <x:v>1</x:v>
      </x:c>
      <x:c r="B6" s="25" t="str">
        <x:f>'Danh sách học sinh'!D5</x:f>
        <x:v>Active</x:v>
      </x:c>
      <x:c r="C6" s="25" t="str">
        <x:f>'Danh sách học sinh'!E5</x:f>
        <x:v>Minh Khang (ôn hè)</x:v>
      </x:c>
      <x:c r="D6" s="25" t="str">
        <x:f>IF('Danh sách học sinh'!F5="","",'Danh sách học sinh'!F5)</x:f>
      </x:c>
      <x:c r="E6" s="45" t="str">
        <x:f>'Danh sách học sinh'!G5</x:f>
        <x:v>T2-T6</x:v>
      </x:c>
      <x:c r="F6" s="45" t="n">
        <x:f>'Danh sách học sinh'!K5</x:f>
        <x:v>7</x:v>
      </x:c>
      <x:c r="G6" s="45" t="str">
        <x:f>'Danh sách học sinh'!N5</x:f>
        <x:v>Khớp gần</x:v>
      </x:c>
      <x:c r="H6" s="45" t="str">
        <x:f>IF('Danh sách học sinh'!M5="","",'Danh sách học sinh'!M5)</x:f>
        <x:v>Học phẩm 300 · 150k/buổi</x:v>
      </x:c>
    </x:row>
    <x:row r="7">
      <x:c r="A7" s="26" t="n">
        <x:f>2</x:f>
        <x:v>2</x:v>
      </x:c>
      <x:c r="B7" s="26" t="str">
        <x:f>'Danh sách học sinh'!D6</x:f>
        <x:v>Active</x:v>
      </x:c>
      <x:c r="C7" s="26" t="str">
        <x:f>'Danh sách học sinh'!E6</x:f>
        <x:v>Minh Khôi</x:v>
      </x:c>
      <x:c r="D7" s="26" t="n">
        <x:f>IF('Danh sách học sinh'!F6="","",'Danh sách học sinh'!F6)</x:f>
        <x:v>2020</x:v>
      </x:c>
      <x:c r="E7" s="46" t="str">
        <x:f>'Danh sách học sinh'!G6</x:f>
        <x:v>T2-T3-T4-T5</x:v>
      </x:c>
      <x:c r="F7" s="46" t="n">
        <x:f>'Danh sách học sinh'!K6</x:f>
        <x:v>20</x:v>
      </x:c>
      <x:c r="G7" s="46" t="str">
        <x:f>'Danh sách học sinh'!N6</x:f>
        <x:v>Tạm phân</x:v>
      </x:c>
      <x:c r="H7" s="46" t="str">
        <x:f>IF('Danh sách học sinh'!M6="","",'Danh sách học sinh'!M6)</x:f>
      </x:c>
    </x:row>
    <x:row r="8">
      <x:c r="A8" s="26" t="n">
        <x:f>3</x:f>
        <x:v>3</x:v>
      </x:c>
      <x:c r="B8" s="26" t="str">
        <x:f>'Danh sách học sinh'!D7</x:f>
        <x:v>Active</x:v>
      </x:c>
      <x:c r="C8" s="26" t="str">
        <x:f>'Danh sách học sinh'!E7</x:f>
        <x:v>Nguyễn Minh Anh</x:v>
      </x:c>
      <x:c r="D8" s="26" t="n">
        <x:f>IF('Danh sách học sinh'!F7="","",'Danh sách học sinh'!F7)</x:f>
        <x:v>2020</x:v>
      </x:c>
      <x:c r="E8" s="46" t="str">
        <x:f>'Danh sách học sinh'!G7</x:f>
        <x:v>T2-T5</x:v>
      </x:c>
      <x:c r="F8" s="46" t="n">
        <x:f>'Danh sách học sinh'!K7</x:f>
        <x:v>14</x:v>
      </x:c>
      <x:c r="G8" s="46" t="str">
        <x:f>'Danh sách học sinh'!N7</x:f>
        <x:v>Khớp chính xác</x:v>
      </x:c>
      <x:c r="H8" s="46" t="str">
        <x:f>IF('Danh sách học sinh'!M7="","",'Danh sách học sinh'!M7)</x:f>
        <x:v>sách</x:v>
      </x:c>
    </x:row>
    <x:row r="9">
      <x:c r="A9" s="26" t="n">
        <x:f>4</x:f>
        <x:v>4</x:v>
      </x:c>
      <x:c r="B9" s="26" t="str">
        <x:f>'Danh sách học sinh'!D8</x:f>
        <x:v>Active</x:v>
      </x:c>
      <x:c r="C9" s="26" t="str">
        <x:f>'Danh sách học sinh'!E8</x:f>
        <x:v>Quang Vinh</x:v>
      </x:c>
      <x:c r="D9" s="26" t="n">
        <x:f>IF('Danh sách học sinh'!F8="","",'Danh sách học sinh'!F8)</x:f>
        <x:v>2020</x:v>
      </x:c>
      <x:c r="E9" s="46" t="str">
        <x:f>'Danh sách học sinh'!G8</x:f>
        <x:v>T4</x:v>
      </x:c>
      <x:c r="F9" s="46" t="n">
        <x:f>'Danh sách học sinh'!K8</x:f>
        <x:v>8</x:v>
      </x:c>
      <x:c r="G9" s="46" t="str">
        <x:f>'Danh sách học sinh'!N8</x:f>
        <x:v>Tạm phân</x:v>
      </x:c>
      <x:c r="H9" s="46" t="str">
        <x:f>IF('Danh sách học sinh'!M8="","",'Danh sách học sinh'!M8)</x:f>
        <x:v>Đi Thụy Sĩ</x:v>
      </x:c>
    </x:row>
    <x:row r="10">
      <x:c r="A10" s="26" t="n">
        <x:f>5</x:f>
        <x:v>5</x:v>
      </x:c>
      <x:c r="B10" s="26" t="str">
        <x:f>'Danh sách học sinh'!D9</x:f>
        <x:v>Active</x:v>
      </x:c>
      <x:c r="C10" s="26" t="str">
        <x:f>'Danh sách học sinh'!E9</x:f>
        <x:v>Quân Boong</x:v>
      </x:c>
      <x:c r="D10" s="26" t="n">
        <x:f>IF('Danh sách học sinh'!F9="","",'Danh sách học sinh'!F9)</x:f>
        <x:v>2021</x:v>
      </x:c>
      <x:c r="E10" s="46" t="str">
        <x:f>'Danh sách học sinh'!G9</x:f>
        <x:v>T2-T4</x:v>
      </x:c>
      <x:c r="F10" s="46" t="n">
        <x:f>'Danh sách học sinh'!K9</x:f>
        <x:v>14</x:v>
      </x:c>
      <x:c r="G10" s="46" t="str">
        <x:f>'Danh sách học sinh'!N9</x:f>
        <x:v>Khớp gần</x:v>
      </x:c>
      <x:c r="H10" s="46" t="str">
        <x:f>IF('Danh sách học sinh'!M9="","",'Danh sách học sinh'!M9)</x:f>
      </x:c>
    </x:row>
    <x:row r="11">
      <x:c r="A11" s="26" t="n">
        <x:f>6</x:f>
        <x:v>6</x:v>
      </x:c>
      <x:c r="B11" s="26" t="str">
        <x:f>'Danh sách học sinh'!D10</x:f>
        <x:v>Deactive</x:v>
      </x:c>
      <x:c r="C11" s="26" t="str">
        <x:f>'Danh sách học sinh'!E10</x:f>
        <x:v>Đức Anh (Shin)</x:v>
      </x:c>
      <x:c r="D11" s="26" t="n">
        <x:f>IF('Danh sách học sinh'!F10="","",'Danh sách học sinh'!F10)</x:f>
        <x:v>2020</x:v>
      </x:c>
      <x:c r="E11" s="46" t="str">
        <x:f>'Danh sách học sinh'!G10</x:f>
        <x:v>T2-T3-T4-T5</x:v>
      </x:c>
      <x:c r="F11" s="46" t="n">
        <x:f>'Danh sách học sinh'!K10</x:f>
        <x:v>4</x:v>
      </x:c>
      <x:c r="G11" s="46" t="str">
        <x:f>'Danh sách học sinh'!N10</x:f>
        <x:v>Tạm phân</x:v>
      </x:c>
      <x:c r="H11" s="46" t="str">
        <x:f>IF('Danh sách học sinh'!M10="","",'Danh sách học sinh'!M10)</x:f>
        <x:v>Học phẩm 150 · Tháng 7 chưa có buổi nào</x:v>
      </x:c>
    </x:row>
    <x:row r="12">
      <x:c r="A12" s="26" t="n">
        <x:f>7</x:f>
        <x:v>7</x:v>
      </x:c>
      <x:c r="B12" s="26" t="str">
        <x:f>'Danh sách học sinh'!D11</x:f>
        <x:v>Deactive</x:v>
      </x:c>
      <x:c r="C12" s="26" t="str">
        <x:f>'Danh sách học sinh'!E11</x:f>
        <x:v>Minh Quang (Gấu)</x:v>
      </x:c>
      <x:c r="D12" s="26" t="n">
        <x:f>IF('Danh sách học sinh'!F11="","",'Danh sách học sinh'!F11)</x:f>
        <x:v>2020</x:v>
      </x:c>
      <x:c r="E12" s="46" t="str">
        <x:f>'Danh sách học sinh'!G11</x:f>
        <x:v>T2-T4</x:v>
      </x:c>
      <x:c r="F12" s="46" t="n">
        <x:f>'Danh sách học sinh'!K11</x:f>
        <x:v>8</x:v>
      </x:c>
      <x:c r="G12" s="46" t="str">
        <x:f>'Danh sách học sinh'!N11</x:f>
        <x:v>Khớp gần</x:v>
      </x:c>
      <x:c r="H12" s="46" t="str">
        <x:f>IF('Danh sách học sinh'!M11="","",'Danh sách học sinh'!M11)</x:f>
        <x:v>Học phẩm 150</x:v>
      </x:c>
    </x:row>
    <x:row r="14">
      <x:c r="A14" s="56" t="str">
        <x:v>Prekids02 — Tiền tiểu học — Thứ 3, Thứ 5 · 19:45-21:10 (Tối)</x:v>
      </x:c>
      <x:c r="B14" s="56"/>
      <x:c r="C14" s="56"/>
      <x:c r="D14" s="56"/>
      <x:c r="E14" s="56"/>
      <x:c r="F14" s="56"/>
      <x:c r="G14" s="56"/>
      <x:c r="H14" s="56"/>
    </x:row>
    <x:row r="15" ht="32" customHeight="1">
      <x:c r="A15" s="19" t="str">
        <x:v>STT</x:v>
      </x:c>
      <x:c r="B15" s="20" t="str">
        <x:v>Status</x:v>
      </x:c>
      <x:c r="C15" s="20" t="str">
        <x:v>Họ và tên</x:v>
      </x:c>
      <x:c r="D15" s="20" t="str">
        <x:v>Năm sinh</x:v>
      </x:c>
      <x:c r="E15" s="20" t="str">
        <x:v>Lịch nguồn / thực tế</x:v>
      </x:c>
      <x:c r="F15" s="20" t="str">
        <x:v>Tổng buổi</x:v>
      </x:c>
      <x:c r="G15" s="20" t="str">
        <x:v>Độ khớp</x:v>
      </x:c>
      <x:c r="H15" s="21" t="str">
        <x:v>Ghi chú</x:v>
      </x:c>
    </x:row>
    <x:row r="16">
      <x:c r="A16" s="25" t="n">
        <x:f>1</x:f>
        <x:v>1</x:v>
      </x:c>
      <x:c r="B16" s="25" t="str">
        <x:f>'Danh sách học sinh'!D12</x:f>
        <x:v>Active</x:v>
      </x:c>
      <x:c r="C16" s="25" t="str">
        <x:f>'Danh sách học sinh'!E12</x:f>
        <x:v>Bảo Anh (Nấm)</x:v>
      </x:c>
      <x:c r="D16" s="25" t="n">
        <x:f>IF('Danh sách học sinh'!F12="","",'Danh sách học sinh'!F12)</x:f>
        <x:v>2020</x:v>
      </x:c>
      <x:c r="E16" s="45" t="str">
        <x:f>'Danh sách học sinh'!G12</x:f>
        <x:v>T3-T5</x:v>
      </x:c>
      <x:c r="F16" s="45" t="n">
        <x:f>'Danh sách học sinh'!K12</x:f>
        <x:v>5</x:v>
      </x:c>
      <x:c r="G16" s="45" t="str">
        <x:f>'Danh sách học sinh'!N12</x:f>
        <x:v>Khớp chính xác</x:v>
      </x:c>
      <x:c r="H16" s="45" t="str">
        <x:f>IF('Danh sách học sinh'!M12="","",'Danh sách học sinh'!M12)</x:f>
        <x:v>Còn 1 buổi tháng 6 + sách</x:v>
      </x:c>
    </x:row>
    <x:row r="17">
      <x:c r="A17" s="26" t="n">
        <x:f>2</x:f>
        <x:v>2</x:v>
      </x:c>
      <x:c r="B17" s="26" t="str">
        <x:f>'Danh sách học sinh'!D13</x:f>
        <x:v>Active</x:v>
      </x:c>
      <x:c r="C17" s="26" t="str">
        <x:f>'Danh sách học sinh'!E13</x:f>
        <x:v>Kem</x:v>
      </x:c>
      <x:c r="D17" s="26" t="n">
        <x:f>IF('Danh sách học sinh'!F13="","",'Danh sách học sinh'!F13)</x:f>
        <x:v>2020</x:v>
      </x:c>
      <x:c r="E17" s="46" t="str">
        <x:f>'Danh sách học sinh'!G13</x:f>
        <x:v>T3-T5-T7</x:v>
      </x:c>
      <x:c r="F17" s="46" t="n">
        <x:f>'Danh sách học sinh'!K13</x:f>
        <x:v>18</x:v>
      </x:c>
      <x:c r="G17" s="46" t="str">
        <x:f>'Danh sách học sinh'!N13</x:f>
        <x:v>Tạm phân</x:v>
      </x:c>
      <x:c r="H17" s="46" t="str">
        <x:f>IF('Danh sách học sinh'!M13="","",'Danh sách học sinh'!M13)</x:f>
      </x:c>
    </x:row>
    <x:row r="18">
      <x:c r="A18" s="26" t="n">
        <x:f>3</x:f>
        <x:v>3</x:v>
      </x:c>
      <x:c r="B18" s="26" t="str">
        <x:f>'Danh sách học sinh'!D14</x:f>
        <x:v>Active</x:v>
      </x:c>
      <x:c r="C18" s="26" t="str">
        <x:f>'Danh sách học sinh'!E14</x:f>
        <x:v>Nguyễn Bảo Hà</x:v>
      </x:c>
      <x:c r="D18" s="26" t="n">
        <x:f>IF('Danh sách học sinh'!F14="","",'Danh sách học sinh'!F14)</x:f>
        <x:v>2020</x:v>
      </x:c>
      <x:c r="E18" s="46" t="str">
        <x:f>'Danh sách học sinh'!G14</x:f>
        <x:v>T3-T5</x:v>
      </x:c>
      <x:c r="F18" s="46" t="n">
        <x:f>'Danh sách học sinh'!K14</x:f>
        <x:v>14</x:v>
      </x:c>
      <x:c r="G18" s="46" t="str">
        <x:f>'Danh sách học sinh'!N14</x:f>
        <x:v>Khớp chính xác</x:v>
      </x:c>
      <x:c r="H18" s="46" t="str">
        <x:f>IF('Danh sách học sinh'!M14="","",'Danh sách học sinh'!M14)</x:f>
        <x:v>sách</x:v>
      </x:c>
    </x:row>
    <x:row r="19">
      <x:c r="A19" s="26" t="n">
        <x:f>4</x:f>
        <x:v>4</x:v>
      </x:c>
      <x:c r="B19" s="26" t="str">
        <x:f>'Danh sách học sinh'!D15</x:f>
        <x:v>Deactive</x:v>
      </x:c>
      <x:c r="C19" s="26" t="str">
        <x:f>'Danh sách học sinh'!E15</x:f>
        <x:v>Bảo Anh (ôn hè)</x:v>
      </x:c>
      <x:c r="D19" s="26" t="str">
        <x:f>IF('Danh sách học sinh'!F15="","",'Danh sách học sinh'!F15)</x:f>
      </x:c>
      <x:c r="E19" s="46" t="str">
        <x:f>'Danh sách học sinh'!G15</x:f>
        <x:v>T3-T5</x:v>
      </x:c>
      <x:c r="F19" s="46" t="n">
        <x:f>'Danh sách học sinh'!K15</x:f>
        <x:v>8</x:v>
      </x:c>
      <x:c r="G19" s="46" t="str">
        <x:f>'Danh sách học sinh'!N15</x:f>
        <x:v>Khớp chính xác</x:v>
      </x:c>
      <x:c r="H19" s="46" t="str">
        <x:f>IF('Danh sách học sinh'!M15="","",'Danh sách học sinh'!M15)</x:f>
      </x:c>
    </x:row>
    <x:row r="20">
      <x:c r="A20" s="26" t="n">
        <x:f>5</x:f>
        <x:v>5</x:v>
      </x:c>
      <x:c r="B20" s="26" t="str">
        <x:f>'Danh sách học sinh'!D16</x:f>
        <x:v>Deactive</x:v>
      </x:c>
      <x:c r="C20" s="26" t="str">
        <x:f>'Danh sách học sinh'!E16</x:f>
        <x:v>Hà Anh (ôn hè)</x:v>
      </x:c>
      <x:c r="D20" s="26" t="str">
        <x:f>IF('Danh sách học sinh'!F16="","",'Danh sách học sinh'!F16)</x:f>
      </x:c>
      <x:c r="E20" s="46" t="str">
        <x:f>'Danh sách học sinh'!G16</x:f>
        <x:v>T3-T5</x:v>
      </x:c>
      <x:c r="F20" s="46" t="n">
        <x:f>'Danh sách học sinh'!K16</x:f>
        <x:v>8</x:v>
      </x:c>
      <x:c r="G20" s="46" t="str">
        <x:f>'Danh sách học sinh'!N16</x:f>
        <x:v>Khớp chính xác</x:v>
      </x:c>
      <x:c r="H20" s="46" t="str">
        <x:f>IF('Danh sách học sinh'!M16="","",'Danh sách học sinh'!M16)</x:f>
      </x:c>
    </x:row>
    <x:row r="21">
      <x:c r="A21" s="26" t="n">
        <x:f>6</x:f>
        <x:v>6</x:v>
      </x:c>
      <x:c r="B21" s="26" t="str">
        <x:f>'Danh sách học sinh'!D17</x:f>
        <x:v>Deactive</x:v>
      </x:c>
      <x:c r="C21" s="26" t="str">
        <x:f>'Danh sách học sinh'!E17</x:f>
        <x:v>Huyền Anh (ôn hè)</x:v>
      </x:c>
      <x:c r="D21" s="26" t="str">
        <x:f>IF('Danh sách học sinh'!F17="","",'Danh sách học sinh'!F17)</x:f>
      </x:c>
      <x:c r="E21" s="46" t="str">
        <x:f>'Danh sách học sinh'!G17</x:f>
        <x:v>T3-T5</x:v>
      </x:c>
      <x:c r="F21" s="46" t="n">
        <x:f>'Danh sách học sinh'!K17</x:f>
        <x:v>6</x:v>
      </x:c>
      <x:c r="G21" s="46" t="str">
        <x:f>'Danh sách học sinh'!N17</x:f>
        <x:v>Khớp chính xác</x:v>
      </x:c>
      <x:c r="H21" s="46" t="str">
        <x:f>IF('Danh sách học sinh'!M17="","",'Danh sách học sinh'!M17)</x:f>
        <x:v>Không có tên trong tháng 7</x:v>
      </x:c>
    </x:row>
    <x:row r="22">
      <x:c r="A22" s="26" t="n">
        <x:f>7</x:f>
        <x:v>7</x:v>
      </x:c>
      <x:c r="B22" s="26" t="str">
        <x:f>'Danh sách học sinh'!D18</x:f>
        <x:v>Deactive</x:v>
      </x:c>
      <x:c r="C22" s="26" t="str">
        <x:f>'Danh sách học sinh'!E18</x:f>
        <x:v>Phạm Hà Dương</x:v>
      </x:c>
      <x:c r="D22" s="26" t="n">
        <x:f>IF('Danh sách học sinh'!F18="","",'Danh sách học sinh'!F18)</x:f>
        <x:v>2020</x:v>
      </x:c>
      <x:c r="E22" s="46" t="str">
        <x:f>'Danh sách học sinh'!G18</x:f>
        <x:v>T3-T5</x:v>
      </x:c>
      <x:c r="F22" s="46" t="n">
        <x:f>'Danh sách học sinh'!K18</x:f>
        <x:v>9</x:v>
      </x:c>
      <x:c r="G22" s="46" t="str">
        <x:f>'Danh sách học sinh'!N18</x:f>
        <x:v>Khớp chính xác</x:v>
      </x:c>
      <x:c r="H22" s="46" t="str">
        <x:f>IF('Danh sách học sinh'!M18="","",'Danh sách học sinh'!M18)</x:f>
        <x:v>Không có tên trong tháng 7</x:v>
      </x:c>
    </x:row>
    <x:row r="24">
      <x:c r="A24" s="56" t="str">
        <x:v>Prekids03 — Tiền tiểu học — Thứ 3, Thứ 7 · 19:45-21:10 (Tối)</x:v>
      </x:c>
      <x:c r="B24" s="56"/>
      <x:c r="C24" s="56"/>
      <x:c r="D24" s="56"/>
      <x:c r="E24" s="56"/>
      <x:c r="F24" s="56"/>
      <x:c r="G24" s="56"/>
      <x:c r="H24" s="56"/>
    </x:row>
    <x:row r="25" ht="32" customHeight="1">
      <x:c r="A25" s="19" t="str">
        <x:v>STT</x:v>
      </x:c>
      <x:c r="B25" s="20" t="str">
        <x:v>Status</x:v>
      </x:c>
      <x:c r="C25" s="20" t="str">
        <x:v>Họ và tên</x:v>
      </x:c>
      <x:c r="D25" s="20" t="str">
        <x:v>Năm sinh</x:v>
      </x:c>
      <x:c r="E25" s="20" t="str">
        <x:v>Lịch nguồn / thực tế</x:v>
      </x:c>
      <x:c r="F25" s="20" t="str">
        <x:v>Tổng buổi</x:v>
      </x:c>
      <x:c r="G25" s="20" t="str">
        <x:v>Độ khớp</x:v>
      </x:c>
      <x:c r="H25" s="21" t="str">
        <x:v>Ghi chú</x:v>
      </x:c>
    </x:row>
    <x:row r="26">
      <x:c r="A26" s="25" t="n">
        <x:f>1</x:f>
        <x:v>1</x:v>
      </x:c>
      <x:c r="B26" s="25" t="str">
        <x:f>'Danh sách học sinh'!D19</x:f>
        <x:v>Active</x:v>
      </x:c>
      <x:c r="C26" s="25" t="str">
        <x:f>'Danh sách học sinh'!E19</x:f>
        <x:v>Cherry</x:v>
      </x:c>
      <x:c r="D26" s="25" t="str">
        <x:f>IF('Danh sách học sinh'!F19="","",'Danh sách học sinh'!F19)</x:f>
      </x:c>
      <x:c r="E26" s="45" t="str">
        <x:f>'Danh sách học sinh'!G19</x:f>
        <x:v>T7</x:v>
      </x:c>
      <x:c r="F26" s="45" t="n">
        <x:f>'Danh sách học sinh'!K19</x:f>
        <x:v>1</x:v>
      </x:c>
      <x:c r="G26" s="45" t="str">
        <x:f>'Danh sách học sinh'!N19</x:f>
        <x:v>Khớp gần</x:v>
      </x:c>
      <x:c r="H26" s="45" t="str">
        <x:f>IF('Danh sách học sinh'!M19="","",'Danh sách học sinh'!M19)</x:f>
        <x:v>Học viên mới tháng 7 · sách</x:v>
      </x:c>
    </x:row>
    <x:row r="27">
      <x:c r="A27" s="26" t="n">
        <x:f>2</x:f>
        <x:v>2</x:v>
      </x:c>
      <x:c r="B27" s="26" t="str">
        <x:f>'Danh sách học sinh'!D20</x:f>
        <x:v>Active</x:v>
      </x:c>
      <x:c r="C27" s="26" t="str">
        <x:f>'Danh sách học sinh'!E20</x:f>
        <x:v>Nguyên Đậu</x:v>
      </x:c>
      <x:c r="D27" s="26" t="n">
        <x:f>IF('Danh sách học sinh'!F20="","",'Danh sách học sinh'!F20)</x:f>
        <x:v>2021</x:v>
      </x:c>
      <x:c r="E27" s="46" t="str">
        <x:f>'Danh sách học sinh'!G20</x:f>
        <x:v>T4-T6-T7</x:v>
      </x:c>
      <x:c r="F27" s="46" t="n">
        <x:f>'Danh sách học sinh'!K20</x:f>
        <x:v>14</x:v>
      </x:c>
      <x:c r="G27" s="46" t="str">
        <x:f>'Danh sách học sinh'!N20</x:f>
        <x:v>Khớp gần</x:v>
      </x:c>
      <x:c r="H27" s="46" t="str">
        <x:f>IF('Danh sách học sinh'!M20="","",'Danh sách học sinh'!M20)</x:f>
        <x:v>sách</x:v>
      </x:c>
    </x:row>
    <x:row r="28">
      <x:c r="A28" s="26" t="n">
        <x:f>3</x:f>
        <x:v>3</x:v>
      </x:c>
      <x:c r="B28" s="26" t="str">
        <x:f>'Danh sách học sinh'!D21</x:f>
        <x:v>Active</x:v>
      </x:c>
      <x:c r="C28" s="26" t="str">
        <x:f>'Danh sách học sinh'!E21</x:f>
        <x:v>Phương My (Sữa)</x:v>
      </x:c>
      <x:c r="D28" s="26" t="n">
        <x:f>IF('Danh sách học sinh'!F21="","",'Danh sách học sinh'!F21)</x:f>
        <x:v>2020</x:v>
      </x:c>
      <x:c r="E28" s="46" t="str">
        <x:f>'Danh sách học sinh'!G21</x:f>
        <x:v>T3-T4-T7</x:v>
      </x:c>
      <x:c r="F28" s="46" t="n">
        <x:f>'Danh sách học sinh'!K21</x:f>
        <x:v>10</x:v>
      </x:c>
      <x:c r="G28" s="46" t="str">
        <x:f>'Danh sách học sinh'!N21</x:f>
        <x:v>Khớp gần</x:v>
      </x:c>
      <x:c r="H28" s="46" t="str">
        <x:f>IF('Danh sách học sinh'!M21="","",'Danh sách học sinh'!M21)</x:f>
        <x:v>sách</x:v>
      </x:c>
    </x:row>
    <x:row r="29">
      <x:c r="A29" s="26" t="n">
        <x:f>4</x:f>
        <x:v>4</x:v>
      </x:c>
      <x:c r="B29" s="26" t="str">
        <x:f>'Danh sách học sinh'!D22</x:f>
        <x:v>Deactive</x:v>
      </x:c>
      <x:c r="C29" s="26" t="str">
        <x:f>'Danh sách học sinh'!E22</x:f>
        <x:v>Nguyễn Minh Ngọc</x:v>
      </x:c>
      <x:c r="D29" s="26" t="n">
        <x:f>IF('Danh sách học sinh'!F22="","",'Danh sách học sinh'!F22)</x:f>
        <x:v>2020</x:v>
      </x:c>
      <x:c r="E29" s="46" t="str">
        <x:f>'Danh sách học sinh'!G22</x:f>
        <x:v>T6-T7</x:v>
      </x:c>
      <x:c r="F29" s="46" t="n">
        <x:f>'Danh sách học sinh'!K22</x:f>
        <x:v>14</x:v>
      </x:c>
      <x:c r="G29" s="46" t="str">
        <x:f>'Danh sách học sinh'!N22</x:f>
        <x:v>Khớp gần</x:v>
      </x:c>
      <x:c r="H29" s="46" t="str">
        <x:f>IF('Danh sách học sinh'!M22="","",'Danh sách học sinh'!M22)</x:f>
        <x:v>sách</x:v>
      </x:c>
    </x:row>
    <x:row r="31">
      <x:c r="A31" s="56" t="str">
        <x:v>LCD001 — Luyện viết chữ đẹp — Thứ 2, Thứ 4 · 08:30-10:00 (Sáng)</x:v>
      </x:c>
      <x:c r="B31" s="56"/>
      <x:c r="C31" s="56"/>
      <x:c r="D31" s="56"/>
      <x:c r="E31" s="56"/>
      <x:c r="F31" s="56"/>
      <x:c r="G31" s="56"/>
      <x:c r="H31" s="56"/>
    </x:row>
    <x:row r="32" ht="32" customHeight="1">
      <x:c r="A32" s="19" t="str">
        <x:v>STT</x:v>
      </x:c>
      <x:c r="B32" s="20" t="str">
        <x:v>Status</x:v>
      </x:c>
      <x:c r="C32" s="20" t="str">
        <x:v>Họ và tên</x:v>
      </x:c>
      <x:c r="D32" s="20" t="str">
        <x:v>Năm sinh</x:v>
      </x:c>
      <x:c r="E32" s="20" t="str">
        <x:v>Lịch nguồn / thực tế</x:v>
      </x:c>
      <x:c r="F32" s="20" t="str">
        <x:v>Tổng buổi</x:v>
      </x:c>
      <x:c r="G32" s="20" t="str">
        <x:v>Độ khớp</x:v>
      </x:c>
      <x:c r="H32" s="21" t="str">
        <x:v>Ghi chú</x:v>
      </x:c>
    </x:row>
    <x:row r="33">
      <x:c r="A33" s="25" t="n">
        <x:f>1</x:f>
        <x:v>1</x:v>
      </x:c>
      <x:c r="B33" s="25" t="str">
        <x:f>'Danh sách học sinh'!D23</x:f>
        <x:v>Active</x:v>
      </x:c>
      <x:c r="C33" s="25" t="str">
        <x:f>'Danh sách học sinh'!E23</x:f>
        <x:v>Nguyễn Nam Khang</x:v>
      </x:c>
      <x:c r="D33" s="25" t="n">
        <x:f>IF('Danh sách học sinh'!F23="","",'Danh sách học sinh'!F23)</x:f>
        <x:v>2012</x:v>
      </x:c>
      <x:c r="E33" s="45" t="str">
        <x:f>'Danh sách học sinh'!G23</x:f>
        <x:v>T2-T4 · 8h30-10h</x:v>
      </x:c>
      <x:c r="F33" s="45" t="n">
        <x:f>'Danh sách học sinh'!K23</x:f>
        <x:v>18</x:v>
      </x:c>
      <x:c r="G33" s="45" t="str">
        <x:f>'Danh sách học sinh'!N23</x:f>
        <x:v>Khớp chính xác</x:v>
      </x:c>
      <x:c r="H33" s="45" t="str">
        <x:f>IF('Danh sách học sinh'!M23="","",'Danh sách học sinh'!M23)</x:f>
      </x:c>
    </x:row>
    <x:row r="34">
      <x:c r="A34" s="26" t="n">
        <x:f>2</x:f>
        <x:v>2</x:v>
      </x:c>
      <x:c r="B34" s="26" t="str">
        <x:f>'Danh sách học sinh'!D24</x:f>
        <x:v>Active</x:v>
      </x:c>
      <x:c r="C34" s="26" t="str">
        <x:f>'Danh sách học sinh'!E24</x:f>
        <x:v>Phùng Minh Quang</x:v>
      </x:c>
      <x:c r="D34" s="26" t="n">
        <x:f>IF('Danh sách học sinh'!F24="","",'Danh sách học sinh'!F24)</x:f>
        <x:v>2015</x:v>
      </x:c>
      <x:c r="E34" s="46" t="str">
        <x:f>'Danh sách học sinh'!G24</x:f>
        <x:v>T3-T5 · 8h30-10h | thực tế T2-T4</x:v>
      </x:c>
      <x:c r="F34" s="46" t="n">
        <x:f>'Danh sách học sinh'!K24</x:f>
        <x:v>17</x:v>
      </x:c>
      <x:c r="G34" s="46" t="str">
        <x:f>'Danh sách học sinh'!N24</x:f>
        <x:v>Khớp chính xác</x:v>
      </x:c>
      <x:c r="H34" s="46" t="str">
        <x:f>IF('Danh sách học sinh'!M24="","",'Danh sách học sinh'!M24)</x:f>
        <x:v>Mẹ Nga Lee</x:v>
      </x:c>
    </x:row>
    <x:row r="35">
      <x:c r="A35" s="26" t="n">
        <x:f>3</x:f>
        <x:v>3</x:v>
      </x:c>
      <x:c r="B35" s="26" t="str">
        <x:f>'Danh sách học sinh'!D25</x:f>
        <x:v>Active</x:v>
      </x:c>
      <x:c r="C35" s="26" t="str">
        <x:f>'Danh sách học sinh'!E25</x:f>
        <x:v>Trần Đức Khôi</x:v>
      </x:c>
      <x:c r="D35" s="26" t="n">
        <x:f>IF('Danh sách học sinh'!F25="","",'Danh sách học sinh'!F25)</x:f>
        <x:v>2019</x:v>
      </x:c>
      <x:c r="E35" s="46" t="str">
        <x:f>'Danh sách học sinh'!G25</x:f>
        <x:v>T2-T4 · 8h30-10h</x:v>
      </x:c>
      <x:c r="F35" s="46" t="n">
        <x:f>'Danh sách học sinh'!K25</x:f>
        <x:v>10</x:v>
      </x:c>
      <x:c r="G35" s="46" t="str">
        <x:f>'Danh sách học sinh'!N25</x:f>
        <x:v>Khớp chính xác</x:v>
      </x:c>
      <x:c r="H35" s="46" t="str">
        <x:f>IF('Danh sách học sinh'!M25="","",'Danh sách học sinh'!M25)</x:f>
      </x:c>
    </x:row>
    <x:row r="36">
      <x:c r="A36" s="26" t="n">
        <x:f>4</x:f>
        <x:v>4</x:v>
      </x:c>
      <x:c r="B36" s="26" t="str">
        <x:f>'Danh sách học sinh'!D26</x:f>
        <x:v>Active</x:v>
      </x:c>
      <x:c r="C36" s="26" t="str">
        <x:f>'Danh sách học sinh'!E26</x:f>
        <x:v>Trần Quốc Bảo</x:v>
      </x:c>
      <x:c r="D36" s="26" t="n">
        <x:f>IF('Danh sách học sinh'!F26="","",'Danh sách học sinh'!F26)</x:f>
        <x:v>2019</x:v>
      </x:c>
      <x:c r="E36" s="46" t="str">
        <x:f>'Danh sách học sinh'!G26</x:f>
        <x:v>T2-T4 · 8h30-10h</x:v>
      </x:c>
      <x:c r="F36" s="46" t="n">
        <x:f>'Danh sách học sinh'!K26</x:f>
        <x:v>13</x:v>
      </x:c>
      <x:c r="G36" s="46" t="str">
        <x:f>'Danh sách học sinh'!N26</x:f>
        <x:v>Khớp chính xác</x:v>
      </x:c>
      <x:c r="H36" s="46" t="str">
        <x:f>IF('Danh sách học sinh'!M26="","",'Danh sách học sinh'!M26)</x:f>
        <x:v>Mẹ Tâm Nguyễn</x:v>
      </x:c>
    </x:row>
    <x:row r="37">
      <x:c r="A37" s="26" t="n">
        <x:f>5</x:f>
        <x:v>5</x:v>
      </x:c>
      <x:c r="B37" s="26" t="str">
        <x:f>'Danh sách học sinh'!D27</x:f>
        <x:v>Active</x:v>
      </x:c>
      <x:c r="C37" s="26" t="str">
        <x:f>'Danh sách học sinh'!E27</x:f>
        <x:v>Trịnh Ngọc Gia Hân</x:v>
      </x:c>
      <x:c r="D37" s="26" t="n">
        <x:f>IF('Danh sách học sinh'!F27="","",'Danh sách học sinh'!F27)</x:f>
        <x:v>2014</x:v>
      </x:c>
      <x:c r="E37" s="46" t="str">
        <x:f>'Danh sách học sinh'!G27</x:f>
        <x:v>T2-T4 · 8h30-10h</x:v>
      </x:c>
      <x:c r="F37" s="46" t="n">
        <x:f>'Danh sách học sinh'!K27</x:f>
        <x:v>8</x:v>
      </x:c>
      <x:c r="G37" s="46" t="str">
        <x:f>'Danh sách học sinh'!N27</x:f>
        <x:v>Khớp chính xác</x:v>
      </x:c>
      <x:c r="H37" s="46" t="str">
        <x:f>IF('Danh sách học sinh'!M27="","",'Danh sách học sinh'!M27)</x:f>
        <x:v>Mẹ Mai Trần</x:v>
      </x:c>
    </x:row>
    <x:row r="39">
      <x:c r="A39" s="56" t="str">
        <x:v>LCD002 — Luyện viết chữ đẹp — Thứ 3, Thứ 5 · 08:30-10:00 (Sáng)</x:v>
      </x:c>
      <x:c r="B39" s="56"/>
      <x:c r="C39" s="56"/>
      <x:c r="D39" s="56"/>
      <x:c r="E39" s="56"/>
      <x:c r="F39" s="56"/>
      <x:c r="G39" s="56"/>
      <x:c r="H39" s="56"/>
    </x:row>
    <x:row r="40" ht="32" customHeight="1">
      <x:c r="A40" s="19" t="str">
        <x:v>STT</x:v>
      </x:c>
      <x:c r="B40" s="20" t="str">
        <x:v>Status</x:v>
      </x:c>
      <x:c r="C40" s="20" t="str">
        <x:v>Họ và tên</x:v>
      </x:c>
      <x:c r="D40" s="20" t="str">
        <x:v>Năm sinh</x:v>
      </x:c>
      <x:c r="E40" s="20" t="str">
        <x:v>Lịch nguồn / thực tế</x:v>
      </x:c>
      <x:c r="F40" s="20" t="str">
        <x:v>Tổng buổi</x:v>
      </x:c>
      <x:c r="G40" s="20" t="str">
        <x:v>Độ khớp</x:v>
      </x:c>
      <x:c r="H40" s="21" t="str">
        <x:v>Ghi chú</x:v>
      </x:c>
    </x:row>
    <x:row r="41">
      <x:c r="A41" s="25" t="n">
        <x:f>1</x:f>
        <x:v>1</x:v>
      </x:c>
      <x:c r="B41" s="25" t="str">
        <x:f>'Danh sách học sinh'!D28</x:f>
        <x:v>Active</x:v>
      </x:c>
      <x:c r="C41" s="25" t="str">
        <x:f>'Danh sách học sinh'!E28</x:f>
        <x:v>Vũ Nhật Minh</x:v>
      </x:c>
      <x:c r="D41" s="25" t="n">
        <x:f>IF('Danh sách học sinh'!F28="","",'Danh sách học sinh'!F28)</x:f>
        <x:v>2014</x:v>
      </x:c>
      <x:c r="E41" s="45" t="str">
        <x:f>'Danh sách học sinh'!G28</x:f>
        <x:v>T3-T5 · 8h30-10h</x:v>
      </x:c>
      <x:c r="F41" s="45" t="n">
        <x:f>'Danh sách học sinh'!K28</x:f>
        <x:v>14</x:v>
      </x:c>
      <x:c r="G41" s="45" t="str">
        <x:f>'Danh sách học sinh'!N28</x:f>
        <x:v>Khớp chính xác</x:v>
      </x:c>
      <x:c r="H41" s="45" t="str">
        <x:f>IF('Danh sách học sinh'!M28="","",'Danh sách học sinh'!M28)</x:f>
        <x:v>Mẹ Nguyễn Hương</x:v>
      </x:c>
    </x:row>
    <x:row r="42">
      <x:c r="A42" s="26" t="n">
        <x:f>2</x:f>
        <x:v>2</x:v>
      </x:c>
      <x:c r="B42" s="26" t="str">
        <x:f>'Danh sách học sinh'!D29</x:f>
        <x:v>Deactive</x:v>
      </x:c>
      <x:c r="C42" s="26" t="str">
        <x:f>'Danh sách học sinh'!E29</x:f>
        <x:v>Vũ Tú Anh</x:v>
      </x:c>
      <x:c r="D42" s="26" t="n">
        <x:f>IF('Danh sách học sinh'!F29="","",'Danh sách học sinh'!F29)</x:f>
        <x:v>2019</x:v>
      </x:c>
      <x:c r="E42" s="46" t="str">
        <x:f>'Danh sách học sinh'!G29</x:f>
        <x:v>T3-T5 · 8h30-10h</x:v>
      </x:c>
      <x:c r="F42" s="46" t="n">
        <x:f>'Danh sách học sinh'!K29</x:f>
        <x:v>6</x:v>
      </x:c>
      <x:c r="G42" s="46" t="str">
        <x:f>'Danh sách học sinh'!N29</x:f>
        <x:v>Khớp chính xác</x:v>
      </x:c>
      <x:c r="H42" s="46" t="str">
        <x:f>IF('Danh sách học sinh'!M29="","",'Danh sách học sinh'!M29)</x:f>
      </x:c>
    </x:row>
    <x:row r="44">
      <x:c r="A44" s="56" t="str">
        <x:v>LCD003 — Luyện viết chữ đẹp — Thứ 2, Thứ 4 · 19:45-21:10 (Tối)</x:v>
      </x:c>
      <x:c r="B44" s="56"/>
      <x:c r="C44" s="56"/>
      <x:c r="D44" s="56"/>
      <x:c r="E44" s="56"/>
      <x:c r="F44" s="56"/>
      <x:c r="G44" s="56"/>
      <x:c r="H44" s="56"/>
    </x:row>
    <x:row r="45" ht="32" customHeight="1">
      <x:c r="A45" s="19" t="str">
        <x:v>STT</x:v>
      </x:c>
      <x:c r="B45" s="20" t="str">
        <x:v>Status</x:v>
      </x:c>
      <x:c r="C45" s="20" t="str">
        <x:v>Họ và tên</x:v>
      </x:c>
      <x:c r="D45" s="20" t="str">
        <x:v>Năm sinh</x:v>
      </x:c>
      <x:c r="E45" s="20" t="str">
        <x:v>Lịch nguồn / thực tế</x:v>
      </x:c>
      <x:c r="F45" s="20" t="str">
        <x:v>Tổng buổi</x:v>
      </x:c>
      <x:c r="G45" s="20" t="str">
        <x:v>Độ khớp</x:v>
      </x:c>
      <x:c r="H45" s="21" t="str">
        <x:v>Ghi chú</x:v>
      </x:c>
    </x:row>
    <x:row r="46">
      <x:c r="A46" s="25" t="n">
        <x:f>1</x:f>
        <x:v>1</x:v>
      </x:c>
      <x:c r="B46" s="25" t="str">
        <x:f>'Danh sách học sinh'!D30</x:f>
        <x:v>Active</x:v>
      </x:c>
      <x:c r="C46" s="25" t="str">
        <x:f>'Danh sách học sinh'!E30</x:f>
        <x:v>Duy Đăng</x:v>
      </x:c>
      <x:c r="D46" s="25" t="n">
        <x:f>IF('Danh sách học sinh'!F30="","",'Danh sách học sinh'!F30)</x:f>
        <x:v>2018</x:v>
      </x:c>
      <x:c r="E46" s="45" t="str">
        <x:f>'Danh sách học sinh'!G30</x:f>
        <x:v>(chưa xếp ca)</x:v>
      </x:c>
      <x:c r="F46" s="45" t="n">
        <x:f>'Danh sách học sinh'!K30</x:f>
        <x:v>0</x:v>
      </x:c>
      <x:c r="G46" s="45" t="str">
        <x:f>'Danh sách học sinh'!N30</x:f>
        <x:v>Tạm phân</x:v>
      </x:c>
      <x:c r="H46" s="45" t="str">
        <x:f>IF('Danh sách học sinh'!M30="","",'Danh sách học sinh'!M30)</x:f>
      </x:c>
    </x:row>
    <x:row r="47">
      <x:c r="A47" s="26" t="n">
        <x:f>2</x:f>
        <x:v>2</x:v>
      </x:c>
      <x:c r="B47" s="26" t="str">
        <x:f>'Danh sách học sinh'!D31</x:f>
        <x:v>Active</x:v>
      </x:c>
      <x:c r="C47" s="26" t="str">
        <x:f>'Danh sách học sinh'!E31</x:f>
        <x:v>Nguyễn Quỳnh Trang</x:v>
      </x:c>
      <x:c r="D47" s="26" t="n">
        <x:f>IF('Danh sách học sinh'!F31="","",'Danh sách học sinh'!F31)</x:f>
        <x:v>2019</x:v>
      </x:c>
      <x:c r="E47" s="46" t="str">
        <x:f>'Danh sách học sinh'!G31</x:f>
        <x:v>(chưa xếp ca) | thực tế T2</x:v>
      </x:c>
      <x:c r="F47" s="46" t="n">
        <x:f>'Danh sách học sinh'!K31</x:f>
        <x:v>1</x:v>
      </x:c>
      <x:c r="G47" s="46" t="str">
        <x:f>'Danh sách học sinh'!N31</x:f>
        <x:v>Khớp gần</x:v>
      </x:c>
      <x:c r="H47" s="46" t="str">
        <x:f>IF('Danh sách học sinh'!M31="","",'Danh sách học sinh'!M31)</x:f>
      </x:c>
    </x:row>
    <x:row r="49">
      <x:c r="A49" s="56" t="str">
        <x:v>LCD004 — Luyện viết chữ đẹp — Thứ 4, Thứ 6 · 19:45-21:10 (Tối)</x:v>
      </x:c>
      <x:c r="B49" s="56"/>
      <x:c r="C49" s="56"/>
      <x:c r="D49" s="56"/>
      <x:c r="E49" s="56"/>
      <x:c r="F49" s="56"/>
      <x:c r="G49" s="56"/>
      <x:c r="H49" s="56"/>
    </x:row>
    <x:row r="50" ht="32" customHeight="1">
      <x:c r="A50" s="19" t="str">
        <x:v>STT</x:v>
      </x:c>
      <x:c r="B50" s="20" t="str">
        <x:v>Status</x:v>
      </x:c>
      <x:c r="C50" s="20" t="str">
        <x:v>Họ và tên</x:v>
      </x:c>
      <x:c r="D50" s="20" t="str">
        <x:v>Năm sinh</x:v>
      </x:c>
      <x:c r="E50" s="20" t="str">
        <x:v>Lịch nguồn / thực tế</x:v>
      </x:c>
      <x:c r="F50" s="20" t="str">
        <x:v>Tổng buổi</x:v>
      </x:c>
      <x:c r="G50" s="20" t="str">
        <x:v>Độ khớp</x:v>
      </x:c>
      <x:c r="H50" s="21" t="str">
        <x:v>Ghi chú</x:v>
      </x:c>
    </x:row>
    <x:row r="51">
      <x:c r="A51" s="25" t="n">
        <x:f>1</x:f>
        <x:v>1</x:v>
      </x:c>
      <x:c r="B51" s="25" t="str">
        <x:f>'Danh sách học sinh'!D32</x:f>
        <x:v>Active</x:v>
      </x:c>
      <x:c r="C51" s="25" t="str">
        <x:f>'Danh sách học sinh'!E32</x:f>
        <x:v>Vũ Quang Hùng</x:v>
      </x:c>
      <x:c r="D51" s="25" t="n">
        <x:f>IF('Danh sách học sinh'!F32="","",'Danh sách học sinh'!F32)</x:f>
        <x:v>2018</x:v>
      </x:c>
      <x:c r="E51" s="45" t="str">
        <x:f>'Danh sách học sinh'!G32</x:f>
        <x:v>T4-T6 · 19h45-21h</x:v>
      </x:c>
      <x:c r="F51" s="45" t="n">
        <x:f>'Danh sách học sinh'!K32</x:f>
        <x:v>13</x:v>
      </x:c>
      <x:c r="G51" s="45" t="str">
        <x:f>'Danh sách học sinh'!N32</x:f>
        <x:v>Khớp chính xác</x:v>
      </x:c>
      <x:c r="H51" s="45" t="str">
        <x:f>IF('Danh sách học sinh'!M32="","",'Danh sách học sinh'!M32)</x:f>
      </x:c>
    </x:row>
    <x:row r="53">
      <x:c r="A53" s="56" t="str">
        <x:v>LCD005 — Luyện viết chữ đẹp — Thứ 4, Thứ 7 · 19:45-21:10 (Tối)</x:v>
      </x:c>
      <x:c r="B53" s="56"/>
      <x:c r="C53" s="56"/>
      <x:c r="D53" s="56"/>
      <x:c r="E53" s="56"/>
      <x:c r="F53" s="56"/>
      <x:c r="G53" s="56"/>
      <x:c r="H53" s="56"/>
    </x:row>
    <x:row r="54" ht="32" customHeight="1">
      <x:c r="A54" s="19" t="str">
        <x:v>STT</x:v>
      </x:c>
      <x:c r="B54" s="20" t="str">
        <x:v>Status</x:v>
      </x:c>
      <x:c r="C54" s="20" t="str">
        <x:v>Họ và tên</x:v>
      </x:c>
      <x:c r="D54" s="20" t="str">
        <x:v>Năm sinh</x:v>
      </x:c>
      <x:c r="E54" s="20" t="str">
        <x:v>Lịch nguồn / thực tế</x:v>
      </x:c>
      <x:c r="F54" s="20" t="str">
        <x:v>Tổng buổi</x:v>
      </x:c>
      <x:c r="G54" s="20" t="str">
        <x:v>Độ khớp</x:v>
      </x:c>
      <x:c r="H54" s="21" t="str">
        <x:v>Ghi chú</x:v>
      </x:c>
    </x:row>
    <x:row r="55">
      <x:c r="A55" s="25" t="n">
        <x:f>1</x:f>
        <x:v>1</x:v>
      </x:c>
      <x:c r="B55" s="25" t="str">
        <x:f>'Danh sách học sinh'!D33</x:f>
        <x:v>Active</x:v>
      </x:c>
      <x:c r="C55" s="25" t="str">
        <x:f>'Danh sách học sinh'!E33</x:f>
        <x:v>Ngọc Châu</x:v>
      </x:c>
      <x:c r="D55" s="25" t="n">
        <x:f>IF('Danh sách học sinh'!F33="","",'Danh sách học sinh'!F33)</x:f>
        <x:v>2018</x:v>
      </x:c>
      <x:c r="E55" s="45" t="str">
        <x:f>'Danh sách học sinh'!G33</x:f>
        <x:v>T2-T4 · 19h45-21h | thực tế T4-T7</x:v>
      </x:c>
      <x:c r="F55" s="45" t="n">
        <x:f>'Danh sách học sinh'!K33</x:f>
        <x:v>10</x:v>
      </x:c>
      <x:c r="G55" s="45" t="str">
        <x:f>'Danh sách học sinh'!N33</x:f>
        <x:v>Khớp chính xác</x:v>
      </x:c>
      <x:c r="H55" s="45" t="str">
        <x:f>IF('Danh sách học sinh'!M33="","",'Danh sách học sinh'!M33)</x:f>
        <x:v>Mẹ Dung Phan</x:v>
      </x:c>
    </x:row>
    <x:row r="56">
      <x:c r="A56" s="26" t="n">
        <x:f>2</x:f>
        <x:v>2</x:v>
      </x:c>
      <x:c r="B56" s="26" t="str">
        <x:f>'Danh sách học sinh'!D34</x:f>
        <x:v>Deactive</x:v>
      </x:c>
      <x:c r="C56" s="26" t="str">
        <x:f>'Danh sách học sinh'!E34</x:f>
        <x:v>Kenry</x:v>
      </x:c>
      <x:c r="D56" s="26" t="str">
        <x:f>IF('Danh sách học sinh'!F34="","",'Danh sách học sinh'!F34)</x:f>
      </x:c>
      <x:c r="E56" s="46" t="str">
        <x:f>'Danh sách học sinh'!G34</x:f>
        <x:v>Lớp chờ tháng 7</x:v>
      </x:c>
      <x:c r="F56" s="46" t="n">
        <x:f>'Danh sách học sinh'!K34</x:f>
        <x:v>0</x:v>
      </x:c>
      <x:c r="G56" s="46" t="str">
        <x:f>'Danh sách học sinh'!N34</x:f>
        <x:v>Tạm phân</x:v>
      </x:c>
      <x:c r="H56" s="46" t="str">
        <x:f>IF('Danh sách học sinh'!M34="","",'Danh sách học sinh'!M34)</x:f>
      </x:c>
    </x:row>
  </x:sheetData>
  <x:mergeCells>
    <x:mergeCell ref="A1:H1"/>
    <x:mergeCell ref="A2:H2"/>
    <x:mergeCell ref="A4:H4"/>
    <x:mergeCell ref="A14:H14"/>
    <x:mergeCell ref="A24:H24"/>
    <x:mergeCell ref="A31:H31"/>
    <x:mergeCell ref="A39:H39"/>
    <x:mergeCell ref="A44:H44"/>
    <x:mergeCell ref="A49:H49"/>
    <x:mergeCell ref="A53:H53"/>
  </x:mergeCells>
  <x:conditionalFormatting sqref="B6:B12">
    <x:cfRule type="expression" dxfId="3" priority="1">
      <x:formula>$B6="Active"</x:formula>
    </x:cfRule>
    <x:cfRule type="expression" dxfId="4" priority="2">
      <x:formula>$B6="Deactive"</x:formula>
    </x:cfRule>
  </x:conditionalFormatting>
  <x:conditionalFormatting sqref="B16:B22">
    <x:cfRule type="expression" dxfId="5" priority="3">
      <x:formula>$B16="Active"</x:formula>
    </x:cfRule>
    <x:cfRule type="expression" dxfId="6" priority="4">
      <x:formula>$B16="Deactive"</x:formula>
    </x:cfRule>
  </x:conditionalFormatting>
  <x:conditionalFormatting sqref="B26:B29">
    <x:cfRule type="expression" dxfId="7" priority="5">
      <x:formula>$B26="Active"</x:formula>
    </x:cfRule>
    <x:cfRule type="expression" dxfId="8" priority="6">
      <x:formula>$B26="Deactive"</x:formula>
    </x:cfRule>
  </x:conditionalFormatting>
  <x:conditionalFormatting sqref="B33:B37">
    <x:cfRule type="expression" dxfId="9" priority="7">
      <x:formula>$B33="Active"</x:formula>
    </x:cfRule>
    <x:cfRule type="expression" dxfId="10" priority="8">
      <x:formula>$B33="Deactive"</x:formula>
    </x:cfRule>
  </x:conditionalFormatting>
  <x:conditionalFormatting sqref="B41:B42">
    <x:cfRule type="expression" dxfId="11" priority="9">
      <x:formula>$B41="Active"</x:formula>
    </x:cfRule>
    <x:cfRule type="expression" dxfId="12" priority="10">
      <x:formula>$B41="Deactive"</x:formula>
    </x:cfRule>
  </x:conditionalFormatting>
  <x:conditionalFormatting sqref="B46:B47">
    <x:cfRule type="expression" dxfId="13" priority="11">
      <x:formula>$B46="Active"</x:formula>
    </x:cfRule>
    <x:cfRule type="expression" dxfId="14" priority="12">
      <x:formula>$B46="Deactive"</x:formula>
    </x:cfRule>
  </x:conditionalFormatting>
  <x:conditionalFormatting sqref="B51:B51">
    <x:cfRule type="expression" dxfId="15" priority="13">
      <x:formula>$B51="Active"</x:formula>
    </x:cfRule>
    <x:cfRule type="expression" dxfId="16" priority="14">
      <x:formula>$B51="Deactive"</x:formula>
    </x:cfRule>
  </x:conditionalFormatting>
  <x:conditionalFormatting sqref="B55:B56">
    <x:cfRule type="expression" dxfId="17" priority="15">
      <x:formula>$B55="Active"</x:formula>
    </x:cfRule>
    <x:cfRule type="expression" dxfId="18" priority="16">
      <x:formula>$B55="Deactive"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0.6299991607666" hidden="0" customWidth="1"/>
    <x:col min="3" max="3" width="12.5" hidden="0" customWidth="1"/>
    <x:col min="4" max="4" width="10.630000114440918" hidden="0" customWidth="1"/>
    <x:col min="5" max="5" width="30" hidden="0" customWidth="1"/>
    <x:col min="6" max="6" width="13.130000114440918" hidden="0" customWidth="1"/>
    <x:col min="7" max="7" width="45" hidden="0" customWidth="1"/>
    <x:col min="8" max="8" width="10" hidden="0" customWidth="1"/>
    <x:col min="9" max="9" width="11.880000114440918" hidden="0" customWidth="1"/>
    <x:col min="10" max="10" width="11.25" hidden="0" customWidth="1"/>
  </x:cols>
  <x:sheetData>
    <x:row r="1" ht="36" customHeight="1">
      <x:c r="A1" s="3" t="str">
        <x:v>  CÁC TRƯỜNG HỢP CẦN XÁC NHẬN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Không loại khỏi danh sách; đây là hàng đợi để chốt lại lớp, ca hoặc trạng thái.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STT</x:v>
      </x:c>
      <x:c r="B4" s="20" t="str">
        <x:v>Họ và tên</x:v>
      </x:c>
      <x:c r="C4" s="20" t="str">
        <x:v>Lớp tạm phân</x:v>
      </x:c>
      <x:c r="D4" s="20" t="str">
        <x:v>Status</x:v>
      </x:c>
      <x:c r="E4" s="20" t="str">
        <x:v>Lịch nguồn / thực tế</x:v>
      </x:c>
      <x:c r="F4" s="20" t="str">
        <x:v>Độ khớp</x:v>
      </x:c>
      <x:c r="G4" s="20" t="str">
        <x:v>Vấn đề cần xác nhận</x:v>
      </x:c>
      <x:c r="H4" s="20" t="str">
        <x:v>Tổng buổi</x:v>
      </x:c>
      <x:c r="I4" s="20" t="str">
        <x:v>Status nguồn</x:v>
      </x:c>
      <x:c r="J4" s="21" t="str">
        <x:v>Ưu tiên</x:v>
      </x:c>
    </x:row>
    <x:row r="5">
      <x:c r="A5" s="25" t="n">
        <x:v>1</x:v>
      </x:c>
      <x:c r="B5" s="25" t="str">
        <x:v>Minh Khang (ôn hè)</x:v>
      </x:c>
      <x:c r="C5" s="25" t="str">
        <x:v>Prekids01</x:v>
      </x:c>
      <x:c r="D5" s="25" t="str">
        <x:v>Active</x:v>
      </x:c>
      <x:c r="E5" s="45" t="str">
        <x:v>T2-T6</x:v>
      </x:c>
      <x:c r="F5" s="45" t="str">
        <x:v>Khớp gần</x:v>
      </x:c>
      <x:c r="G5" s="45" t="str">
        <x:v>Lịch T2-T6 khớp ngày T2</x:v>
      </x:c>
      <x:c r="H5" s="25" t="n">
        <x:v>7</x:v>
      </x:c>
      <x:c r="I5" s="25" t="str">
        <x:v>Active</x:v>
      </x:c>
      <x:c r="J5" s="25" t="str">
        <x:v>Trung bình</x:v>
      </x:c>
    </x:row>
    <x:row r="6">
      <x:c r="A6" s="26" t="n">
        <x:v>2</x:v>
      </x:c>
      <x:c r="B6" s="26" t="str">
        <x:v>Minh Khôi</x:v>
      </x:c>
      <x:c r="C6" s="26" t="str">
        <x:v>Prekids01</x:v>
      </x:c>
      <x:c r="D6" s="26" t="str">
        <x:v>Active</x:v>
      </x:c>
      <x:c r="E6" s="46" t="str">
        <x:v>T2-T3-T4-T5</x:v>
      </x:c>
      <x:c r="F6" s="46" t="str">
        <x:v>Tạm phân</x:v>
      </x:c>
      <x:c r="G6" s="46" t="str">
        <x:v>Lịch có cả T2-T5 và T3-T5; ưu tiên cặp T2-T5</x:v>
      </x:c>
      <x:c r="H6" s="26" t="n">
        <x:v>20</x:v>
      </x:c>
      <x:c r="I6" s="26" t="str">
        <x:v>Active</x:v>
      </x:c>
      <x:c r="J6" s="26" t="str">
        <x:v>Cao</x:v>
      </x:c>
    </x:row>
    <x:row r="7">
      <x:c r="A7" s="26" t="n">
        <x:v>3</x:v>
      </x:c>
      <x:c r="B7" s="26" t="str">
        <x:v>Quang Vinh</x:v>
      </x:c>
      <x:c r="C7" s="26" t="str">
        <x:v>Prekids01</x:v>
      </x:c>
      <x:c r="D7" s="26" t="str">
        <x:v>Active</x:v>
      </x:c>
      <x:c r="E7" s="46" t="str">
        <x:v>T4</x:v>
      </x:c>
      <x:c r="F7" s="46" t="str">
        <x:v>Tạm phân</x:v>
      </x:c>
      <x:c r="G7" s="46" t="str">
        <x:v>Lịch T4 không trùng lớp chuẩn; cần cô xác nhận</x:v>
      </x:c>
      <x:c r="H7" s="26" t="n">
        <x:v>8</x:v>
      </x:c>
      <x:c r="I7" s="26" t="str">
        <x:v>Active</x:v>
      </x:c>
      <x:c r="J7" s="26" t="str">
        <x:v>Cao</x:v>
      </x:c>
    </x:row>
    <x:row r="8">
      <x:c r="A8" s="26" t="n">
        <x:v>4</x:v>
      </x:c>
      <x:c r="B8" s="26" t="str">
        <x:v>Quân Boong</x:v>
      </x:c>
      <x:c r="C8" s="26" t="str">
        <x:v>Prekids01</x:v>
      </x:c>
      <x:c r="D8" s="26" t="str">
        <x:v>Active</x:v>
      </x:c>
      <x:c r="E8" s="46" t="str">
        <x:v>T2-T4</x:v>
      </x:c>
      <x:c r="F8" s="46" t="str">
        <x:v>Khớp gần</x:v>
      </x:c>
      <x:c r="G8" s="46" t="str">
        <x:v>Lịch T2-T4 khớp ngày T2</x:v>
      </x:c>
      <x:c r="H8" s="26" t="n">
        <x:v>14</x:v>
      </x:c>
      <x:c r="I8" s="26" t="str">
        <x:v>Active</x:v>
      </x:c>
      <x:c r="J8" s="26" t="str">
        <x:v>Trung bình</x:v>
      </x:c>
    </x:row>
    <x:row r="9">
      <x:c r="A9" s="26" t="n">
        <x:v>5</x:v>
      </x:c>
      <x:c r="B9" s="26" t="str">
        <x:v>Đức Anh (Shin)</x:v>
      </x:c>
      <x:c r="C9" s="26" t="str">
        <x:v>Prekids01</x:v>
      </x:c>
      <x:c r="D9" s="26" t="str">
        <x:v>Deactive</x:v>
      </x:c>
      <x:c r="E9" s="46" t="str">
        <x:v>T2-T3-T4-T5</x:v>
      </x:c>
      <x:c r="F9" s="46" t="str">
        <x:v>Tạm phân</x:v>
      </x:c>
      <x:c r="G9" s="46" t="str">
        <x:v>Lịch có cả T2-T5 và T3-T5; tạm giữ cùng nhóm Minh Khôi</x:v>
      </x:c>
      <x:c r="H9" s="26" t="n">
        <x:v>4</x:v>
      </x:c>
      <x:c r="I9" s="26" t="str">
        <x:v>Deactive</x:v>
      </x:c>
      <x:c r="J9" s="26" t="str">
        <x:v>Cao</x:v>
      </x:c>
    </x:row>
    <x:row r="10">
      <x:c r="A10" s="26" t="n">
        <x:v>6</x:v>
      </x:c>
      <x:c r="B10" s="26" t="str">
        <x:v>Minh Quang (Gấu)</x:v>
      </x:c>
      <x:c r="C10" s="26" t="str">
        <x:v>Prekids01</x:v>
      </x:c>
      <x:c r="D10" s="26" t="str">
        <x:v>Deactive</x:v>
      </x:c>
      <x:c r="E10" s="46" t="str">
        <x:v>T2-T4</x:v>
      </x:c>
      <x:c r="F10" s="46" t="str">
        <x:v>Khớp gần</x:v>
      </x:c>
      <x:c r="G10" s="46" t="str">
        <x:v>Lịch T2-T4 khớp ngày T2</x:v>
      </x:c>
      <x:c r="H10" s="26" t="n">
        <x:v>8</x:v>
      </x:c>
      <x:c r="I10" s="26" t="str">
        <x:v>Deactive</x:v>
      </x:c>
      <x:c r="J10" s="26" t="str">
        <x:v>Trung bình</x:v>
      </x:c>
    </x:row>
    <x:row r="11">
      <x:c r="A11" s="26" t="n">
        <x:v>7</x:v>
      </x:c>
      <x:c r="B11" s="26" t="str">
        <x:v>Kem</x:v>
      </x:c>
      <x:c r="C11" s="26" t="str">
        <x:v>Prekids02</x:v>
      </x:c>
      <x:c r="D11" s="26" t="str">
        <x:v>Active</x:v>
      </x:c>
      <x:c r="E11" s="46" t="str">
        <x:v>T3-T5-T7</x:v>
      </x:c>
      <x:c r="F11" s="46" t="str">
        <x:v>Tạm phân</x:v>
      </x:c>
      <x:c r="G11" s="46" t="str">
        <x:v>Lịch T3-T5-T7 khớp cả Prekids02 và Prekids03; ưu tiên T3-T5</x:v>
      </x:c>
      <x:c r="H11" s="26" t="n">
        <x:v>18</x:v>
      </x:c>
      <x:c r="I11" s="26" t="str">
        <x:v>Active</x:v>
      </x:c>
      <x:c r="J11" s="26" t="str">
        <x:v>Cao</x:v>
      </x:c>
    </x:row>
    <x:row r="12">
      <x:c r="A12" s="26" t="n">
        <x:v>8</x:v>
      </x:c>
      <x:c r="B12" s="26" t="str">
        <x:v>Cherry</x:v>
      </x:c>
      <x:c r="C12" s="26" t="str">
        <x:v>Prekids03</x:v>
      </x:c>
      <x:c r="D12" s="26" t="str">
        <x:v>Active</x:v>
      </x:c>
      <x:c r="E12" s="46" t="str">
        <x:v>T7</x:v>
      </x:c>
      <x:c r="F12" s="46" t="str">
        <x:v>Khớp gần</x:v>
      </x:c>
      <x:c r="G12" s="46" t="str">
        <x:v>Lịch T7 khớp ngày T7</x:v>
      </x:c>
      <x:c r="H12" s="26" t="n">
        <x:v>1</x:v>
      </x:c>
      <x:c r="I12" s="26" t="str">
        <x:v>Active</x:v>
      </x:c>
      <x:c r="J12" s="26" t="str">
        <x:v>Trung bình</x:v>
      </x:c>
    </x:row>
    <x:row r="13">
      <x:c r="A13" s="26" t="n">
        <x:v>9</x:v>
      </x:c>
      <x:c r="B13" s="26" t="str">
        <x:v>Nguyên Đậu</x:v>
      </x:c>
      <x:c r="C13" s="26" t="str">
        <x:v>Prekids03</x:v>
      </x:c>
      <x:c r="D13" s="26" t="str">
        <x:v>Active</x:v>
      </x:c>
      <x:c r="E13" s="46" t="str">
        <x:v>T4-T6-T7</x:v>
      </x:c>
      <x:c r="F13" s="46" t="str">
        <x:v>Khớp gần</x:v>
      </x:c>
      <x:c r="G13" s="46" t="str">
        <x:v>Lịch T4-T6-T7 khớp ngày T7</x:v>
      </x:c>
      <x:c r="H13" s="26" t="n">
        <x:v>14</x:v>
      </x:c>
      <x:c r="I13" s="26" t="str">
        <x:v>Active</x:v>
      </x:c>
      <x:c r="J13" s="26" t="str">
        <x:v>Trung bình</x:v>
      </x:c>
    </x:row>
    <x:row r="14">
      <x:c r="A14" s="26" t="n">
        <x:v>10</x:v>
      </x:c>
      <x:c r="B14" s="26" t="str">
        <x:v>Phương My (Sữa)</x:v>
      </x:c>
      <x:c r="C14" s="26" t="str">
        <x:v>Prekids03</x:v>
      </x:c>
      <x:c r="D14" s="26" t="str">
        <x:v>Active</x:v>
      </x:c>
      <x:c r="E14" s="46" t="str">
        <x:v>T3-T4-T7</x:v>
      </x:c>
      <x:c r="F14" s="46" t="str">
        <x:v>Khớp gần</x:v>
      </x:c>
      <x:c r="G14" s="46" t="str">
        <x:v>Lịch T3-T4-T7 chứa đủ T3-T7</x:v>
      </x:c>
      <x:c r="H14" s="26" t="n">
        <x:v>10</x:v>
      </x:c>
      <x:c r="I14" s="26" t="str">
        <x:v>Active</x:v>
      </x:c>
      <x:c r="J14" s="26" t="str">
        <x:v>Trung bình</x:v>
      </x:c>
    </x:row>
    <x:row r="15">
      <x:c r="A15" s="26" t="n">
        <x:v>11</x:v>
      </x:c>
      <x:c r="B15" s="26" t="str">
        <x:v>Nguyễn Minh Ngọc</x:v>
      </x:c>
      <x:c r="C15" s="26" t="str">
        <x:v>Prekids03</x:v>
      </x:c>
      <x:c r="D15" s="26" t="str">
        <x:v>Deactive</x:v>
      </x:c>
      <x:c r="E15" s="46" t="str">
        <x:v>T6-T7</x:v>
      </x:c>
      <x:c r="F15" s="46" t="str">
        <x:v>Khớp gần</x:v>
      </x:c>
      <x:c r="G15" s="46" t="str">
        <x:v>Lịch T6-T7 chỉ khớp ngày T7</x:v>
      </x:c>
      <x:c r="H15" s="26" t="n">
        <x:v>14</x:v>
      </x:c>
      <x:c r="I15" s="26" t="str">
        <x:v>Deactive</x:v>
      </x:c>
      <x:c r="J15" s="26" t="str">
        <x:v>Trung bình</x:v>
      </x:c>
    </x:row>
    <x:row r="16">
      <x:c r="A16" s="26" t="n">
        <x:v>12</x:v>
      </x:c>
      <x:c r="B16" s="26" t="str">
        <x:v>Duy Đăng</x:v>
      </x:c>
      <x:c r="C16" s="26" t="str">
        <x:v>LCD003</x:v>
      </x:c>
      <x:c r="D16" s="26" t="str">
        <x:v>Active</x:v>
      </x:c>
      <x:c r="E16" s="46" t="str">
        <x:v>(chưa xếp ca)</x:v>
      </x:c>
      <x:c r="F16" s="46" t="str">
        <x:v>Tạm phân</x:v>
      </x:c>
      <x:c r="G16" s="46" t="str">
        <x:v>Chưa có ca; tạm xếp cùng nhóm cũ với Quỳnh Trang; Status Active nhưng chưa có buổi học</x:v>
      </x:c>
      <x:c r="H16" s="26" t="n">
        <x:v>0</x:v>
      </x:c>
      <x:c r="I16" s="26" t="str">
        <x:v>Active</x:v>
      </x:c>
      <x:c r="J16" s="26" t="str">
        <x:v>Cao</x:v>
      </x:c>
    </x:row>
    <x:row r="17">
      <x:c r="A17" s="26" t="n">
        <x:v>13</x:v>
      </x:c>
      <x:c r="B17" s="26" t="str">
        <x:v>Nguyễn Quỳnh Trang</x:v>
      </x:c>
      <x:c r="C17" s="26" t="str">
        <x:v>LCD003</x:v>
      </x:c>
      <x:c r="D17" s="26" t="str">
        <x:v>Active</x:v>
      </x:c>
      <x:c r="E17" s="46" t="str">
        <x:v>(chưa xếp ca) | thực tế T2</x:v>
      </x:c>
      <x:c r="F17" s="46" t="str">
        <x:v>Khớp gần</x:v>
      </x:c>
      <x:c r="G17" s="46" t="str">
        <x:v>Lịch thực tế có T2; chưa rõ ca sáng/tối</x:v>
      </x:c>
      <x:c r="H17" s="26" t="n">
        <x:v>1</x:v>
      </x:c>
      <x:c r="I17" s="26" t="str">
        <x:v>Active</x:v>
      </x:c>
      <x:c r="J17" s="26" t="str">
        <x:v>Trung bình</x:v>
      </x:c>
    </x:row>
    <x:row r="18">
      <x:c r="A18" s="26" t="n">
        <x:v>14</x:v>
      </x:c>
      <x:c r="B18" s="26" t="str">
        <x:v>Kenry</x:v>
      </x:c>
      <x:c r="C18" s="26" t="str">
        <x:v>LCD005</x:v>
      </x:c>
      <x:c r="D18" s="26" t="str">
        <x:v>Deactive</x:v>
      </x:c>
      <x:c r="E18" s="46" t="str">
        <x:v>Lớp chờ tháng 7</x:v>
      </x:c>
      <x:c r="F18" s="46" t="str">
        <x:v>Tạm phân</x:v>
      </x:c>
      <x:c r="G18" s="46" t="str">
        <x:v>Chưa có lịch và chưa học; tạm đưa vào lớp chờ LCD005; Pending được chuẩn hóa thành Deactive</x:v>
      </x:c>
      <x:c r="H18" s="26" t="n">
        <x:v>0</x:v>
      </x:c>
      <x:c r="I18" s="26" t="str">
        <x:v>Pending</x:v>
      </x:c>
      <x:c r="J18" s="26" t="str">
        <x:v>Cao</x:v>
      </x:c>
    </x:row>
  </x:sheetData>
  <x:mergeCells>
    <x:mergeCell ref="A1:J1"/>
    <x:mergeCell ref="A2:J2"/>
  </x:mergeCells>
  <x:conditionalFormatting sqref="J5:J18">
    <x:cfRule type="containsText" dxfId="19" priority="1" operator="containsText" text="Cao"/>
  </x:conditionalFormatting>
  <x:pageMargins left="0.7" right="0.7" top="0.75" bottom="0.75" header="0.3" footer="0.3"/>
  <x:tableParts count="1">
    <x:tablePart xmlns:r="http://schemas.openxmlformats.org/officeDocument/2006/relationships" r:id="R9e0af81e53644c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2.5" hidden="0" customWidth="1"/>
    <x:col min="3" max="3" width="20" hidden="0" customWidth="1"/>
    <x:col min="4" max="4" width="9.3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3.130000114440918" hidden="0" customWidth="1"/>
    <x:col min="10" max="10" width="13.130000114440918" hidden="0" customWidth="1"/>
    <x:col min="11" max="11" width="13.75" hidden="0" customWidth="1"/>
  </x:cols>
  <x:sheetData>
    <x:row r="1" ht="36" customHeight="1">
      <x:c r="A1" s="3" t="str">
        <x:v>  LỚP HỌC QUY CHUẨN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Sao chép từ tab Lớp học hiện tại; đây là danh mục dùng để phân học sinh.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9" t="str">
        <x:v>STT</x:v>
      </x:c>
      <x:c r="B4" s="20" t="str">
        <x:v>Lớp học</x:v>
      </x:c>
      <x:c r="C4" s="20" t="str">
        <x:v>Chương trình học</x:v>
      </x:c>
      <x:c r="D4" s="20" t="str">
        <x:v>Ca học</x:v>
      </x:c>
      <x:c r="E4" s="20" t="str">
        <x:v>Ngày học 1</x:v>
      </x:c>
      <x:c r="F4" s="20" t="str">
        <x:v>Ngày học 2</x:v>
      </x:c>
      <x:c r="G4" s="20" t="str">
        <x:v>Giờ bắt đầu</x:v>
      </x:c>
      <x:c r="H4" s="20" t="str">
        <x:v>Giờ kết thúc</x:v>
      </x:c>
      <x:c r="I4" s="20" t="str">
        <x:v>Ngày khai giảng</x:v>
      </x:c>
      <x:c r="J4" s="20" t="str">
        <x:v>Tổng số buổi</x:v>
      </x:c>
      <x:c r="K4" s="21" t="str">
        <x:v>Học phí/buổi</x:v>
      </x:c>
    </x:row>
    <x:row r="5">
      <x:c r="A5" s="25" t="n">
        <x:v>1</x:v>
      </x:c>
      <x:c r="B5" s="25" t="str">
        <x:v>Prekids01</x:v>
      </x:c>
      <x:c r="C5" s="25" t="str">
        <x:v>Tiền tiểu học</x:v>
      </x:c>
      <x:c r="D5" s="25" t="str">
        <x:v>Tối</x:v>
      </x:c>
      <x:c r="E5" s="25" t="str">
        <x:v>Thứ 2</x:v>
      </x:c>
      <x:c r="F5" s="25" t="str">
        <x:v>Thứ 5</x:v>
      </x:c>
      <x:c r="G5" s="25" t="str">
        <x:v>19:45</x:v>
      </x:c>
      <x:c r="H5" s="25" t="str">
        <x:v>21:10</x:v>
      </x:c>
      <x:c r="I5" s="50" t="n">
        <x:v>46174</x:v>
      </x:c>
      <x:c r="J5" s="57" t="n">
        <x:v>95</x:v>
      </x:c>
      <x:c r="K5" s="59" t="n">
        <x:v>100000</x:v>
      </x:c>
    </x:row>
    <x:row r="6">
      <x:c r="A6" s="26" t="n">
        <x:v>2</x:v>
      </x:c>
      <x:c r="B6" s="26" t="str">
        <x:v>Prekids02</x:v>
      </x:c>
      <x:c r="C6" s="26" t="str">
        <x:v>Tiền tiểu học</x:v>
      </x:c>
      <x:c r="D6" s="26" t="str">
        <x:v>Tối</x:v>
      </x:c>
      <x:c r="E6" s="26" t="str">
        <x:v>Thứ 3</x:v>
      </x:c>
      <x:c r="F6" s="26" t="str">
        <x:v>Thứ 5</x:v>
      </x:c>
      <x:c r="G6" s="26" t="str">
        <x:v>19:45</x:v>
      </x:c>
      <x:c r="H6" s="26" t="str">
        <x:v>21:10</x:v>
      </x:c>
      <x:c r="I6" s="51" t="n">
        <x:v>46174</x:v>
      </x:c>
      <x:c r="J6" s="58" t="n">
        <x:v>95</x:v>
      </x:c>
      <x:c r="K6" s="60" t="n">
        <x:v>100000</x:v>
      </x:c>
    </x:row>
    <x:row r="7">
      <x:c r="A7" s="26" t="n">
        <x:v>3</x:v>
      </x:c>
      <x:c r="B7" s="26" t="str">
        <x:v>Prekids03</x:v>
      </x:c>
      <x:c r="C7" s="26" t="str">
        <x:v>Tiền tiểu học</x:v>
      </x:c>
      <x:c r="D7" s="26" t="str">
        <x:v>Tối</x:v>
      </x:c>
      <x:c r="E7" s="26" t="str">
        <x:v>Thứ 3</x:v>
      </x:c>
      <x:c r="F7" s="26" t="str">
        <x:v>Thứ 7</x:v>
      </x:c>
      <x:c r="G7" s="26" t="str">
        <x:v>19:45</x:v>
      </x:c>
      <x:c r="H7" s="26" t="str">
        <x:v>21:10</x:v>
      </x:c>
      <x:c r="I7" s="51" t="n">
        <x:v>46174</x:v>
      </x:c>
      <x:c r="J7" s="58" t="n">
        <x:v>95</x:v>
      </x:c>
      <x:c r="K7" s="60" t="n">
        <x:v>100000</x:v>
      </x:c>
    </x:row>
    <x:row r="8">
      <x:c r="A8" s="26" t="n">
        <x:v>4</x:v>
      </x:c>
      <x:c r="B8" s="26" t="str">
        <x:v>LCD001</x:v>
      </x:c>
      <x:c r="C8" s="26" t="str">
        <x:v>Luyện viết chữ đẹp</x:v>
      </x:c>
      <x:c r="D8" s="26" t="str">
        <x:v>Sáng</x:v>
      </x:c>
      <x:c r="E8" s="26" t="str">
        <x:v>Thứ 2</x:v>
      </x:c>
      <x:c r="F8" s="26" t="str">
        <x:v>Thứ 4</x:v>
      </x:c>
      <x:c r="G8" s="26" t="str">
        <x:v>08:30</x:v>
      </x:c>
      <x:c r="H8" s="26" t="str">
        <x:v>10:00</x:v>
      </x:c>
      <x:c r="I8" s="51" t="n">
        <x:v>46174</x:v>
      </x:c>
      <x:c r="J8" s="58" t="n">
        <x:v>20</x:v>
      </x:c>
      <x:c r="K8" s="60" t="n">
        <x:v>120000</x:v>
      </x:c>
    </x:row>
    <x:row r="9">
      <x:c r="A9" s="26" t="n">
        <x:v>5</x:v>
      </x:c>
      <x:c r="B9" s="26" t="str">
        <x:v>LCD002</x:v>
      </x:c>
      <x:c r="C9" s="26" t="str">
        <x:v>Luyện viết chữ đẹp</x:v>
      </x:c>
      <x:c r="D9" s="26" t="str">
        <x:v>Sáng</x:v>
      </x:c>
      <x:c r="E9" s="26" t="str">
        <x:v>Thứ 3</x:v>
      </x:c>
      <x:c r="F9" s="26" t="str">
        <x:v>Thứ 5</x:v>
      </x:c>
      <x:c r="G9" s="26" t="str">
        <x:v>08:30</x:v>
      </x:c>
      <x:c r="H9" s="26" t="str">
        <x:v>10:00</x:v>
      </x:c>
      <x:c r="I9" s="51" t="n">
        <x:v>46174</x:v>
      </x:c>
      <x:c r="J9" s="58" t="n">
        <x:v>20</x:v>
      </x:c>
      <x:c r="K9" s="60" t="n">
        <x:v>120000</x:v>
      </x:c>
    </x:row>
    <x:row r="10">
      <x:c r="A10" s="26" t="n">
        <x:v>6</x:v>
      </x:c>
      <x:c r="B10" s="26" t="str">
        <x:v>LCD003</x:v>
      </x:c>
      <x:c r="C10" s="26" t="str">
        <x:v>Luyện viết chữ đẹp</x:v>
      </x:c>
      <x:c r="D10" s="26" t="str">
        <x:v>Tối</x:v>
      </x:c>
      <x:c r="E10" s="26" t="str">
        <x:v>Thứ 2</x:v>
      </x:c>
      <x:c r="F10" s="26" t="str">
        <x:v>Thứ 4</x:v>
      </x:c>
      <x:c r="G10" s="26" t="str">
        <x:v>19:45</x:v>
      </x:c>
      <x:c r="H10" s="26" t="str">
        <x:v>21:10</x:v>
      </x:c>
      <x:c r="I10" s="51" t="n">
        <x:v>46174</x:v>
      </x:c>
      <x:c r="J10" s="58" t="n">
        <x:v>20</x:v>
      </x:c>
      <x:c r="K10" s="60" t="n">
        <x:v>120000</x:v>
      </x:c>
    </x:row>
    <x:row r="11">
      <x:c r="A11" s="26" t="n">
        <x:v>7</x:v>
      </x:c>
      <x:c r="B11" s="26" t="str">
        <x:v>LCD004</x:v>
      </x:c>
      <x:c r="C11" s="26" t="str">
        <x:v>Luyện viết chữ đẹp</x:v>
      </x:c>
      <x:c r="D11" s="26" t="str">
        <x:v>Tối</x:v>
      </x:c>
      <x:c r="E11" s="26" t="str">
        <x:v>Thứ 4</x:v>
      </x:c>
      <x:c r="F11" s="26" t="str">
        <x:v>Thứ 6</x:v>
      </x:c>
      <x:c r="G11" s="26" t="str">
        <x:v>19:45</x:v>
      </x:c>
      <x:c r="H11" s="26" t="str">
        <x:v>21:10</x:v>
      </x:c>
      <x:c r="I11" s="51" t="n">
        <x:v>46174</x:v>
      </x:c>
      <x:c r="J11" s="58" t="n">
        <x:v>20</x:v>
      </x:c>
      <x:c r="K11" s="60" t="n">
        <x:v>120000</x:v>
      </x:c>
    </x:row>
    <x:row r="12">
      <x:c r="A12" s="26" t="n">
        <x:v>8</x:v>
      </x:c>
      <x:c r="B12" s="26" t="str">
        <x:v>LCD005</x:v>
      </x:c>
      <x:c r="C12" s="26" t="str">
        <x:v>Luyện viết chữ đẹp</x:v>
      </x:c>
      <x:c r="D12" s="26" t="str">
        <x:v>Tối</x:v>
      </x:c>
      <x:c r="E12" s="26" t="str">
        <x:v>Thứ 4</x:v>
      </x:c>
      <x:c r="F12" s="26" t="str">
        <x:v>Thứ 7</x:v>
      </x:c>
      <x:c r="G12" s="26" t="str">
        <x:v>19:45</x:v>
      </x:c>
      <x:c r="H12" s="26" t="str">
        <x:v>21:10</x:v>
      </x:c>
      <x:c r="I12" s="51" t="n">
        <x:v>46174</x:v>
      </x:c>
      <x:c r="J12" s="58" t="n">
        <x:v>20</x:v>
      </x:c>
      <x:c r="K12" s="60" t="n">
        <x:v>120000</x:v>
      </x:c>
    </x:row>
    <x:row r="14">
      <x:c r="A14" s="62" t="str">
        <x:v>https://docs.google.com/spreadsheets/d/1SelaoNWI6fyUdqhM10CEssYpIwDjL4K6me1AOeZ8exM/edit?gid=2043552548#gid=2043552548</x:v>
      </x:c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</x:row>
  </x:sheetData>
  <x:mergeCells>
    <x:mergeCell ref="A1:K1"/>
    <x:mergeCell ref="A2:K2"/>
    <x:mergeCell ref="A14:K14"/>
  </x:mergeCells>
  <x:pageMargins left="0.7" right="0.7" top="0.75" bottom="0.75" header="0.3" footer="0.3"/>
  <x:tableParts count="1">
    <x:tablePart xmlns:r="http://schemas.openxmlformats.org/officeDocument/2006/relationships" r:id="Rf18bfdf35b6842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0.6299991607666" hidden="0" customWidth="1"/>
    <x:col min="3" max="3" width="11.880000114440918" hidden="0" customWidth="1"/>
    <x:col min="4" max="4" width="9.380000114440918" hidden="0" customWidth="1"/>
    <x:col min="5" max="5" width="16.8799991607666" hidden="0" customWidth="1"/>
    <x:col min="6" max="6" width="30" hidden="0" customWidth="1"/>
    <x:col min="7" max="7" width="12.5" hidden="0" customWidth="1"/>
    <x:col min="8" max="8" width="8.75" hidden="0" customWidth="1"/>
    <x:col min="9" max="9" width="8.75" hidden="0" customWidth="1"/>
    <x:col min="10" max="10" width="9.380000114440918" hidden="0" customWidth="1"/>
    <x:col min="11" max="11" width="18.1299991607666" hidden="0" customWidth="1"/>
    <x:col min="12" max="12" width="32.5" hidden="0" customWidth="1"/>
    <x:col min="13" max="13" width="12.5" hidden="0" customWidth="1"/>
  </x:cols>
  <x:sheetData>
    <x:row r="1" ht="36" customHeight="1">
      <x:c r="A1" s="3" t="str">
        <x:v>  NGUỒN TỔNG HỢP HỌC VIÊN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Giữ nguyên Status nguồn và thông tin tháng 6–7 để kiểm tra ngược; chỉ Pending được chuẩn hóa ở danh sách chính.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9" t="str">
        <x:v>STT</x:v>
      </x:c>
      <x:c r="B4" s="20" t="str">
        <x:v>Họ và tên</x:v>
      </x:c>
      <x:c r="C4" s="20" t="str">
        <x:v>Status nguồn</x:v>
      </x:c>
      <x:c r="D4" s="20" t="str">
        <x:v>Năm sinh</x:v>
      </x:c>
      <x:c r="E4" s="20" t="str">
        <x:v>Chương trình nguồn</x:v>
      </x:c>
      <x:c r="F4" s="20" t="str">
        <x:v>Lịch học nguồn</x:v>
      </x:c>
      <x:c r="G4" s="20" t="str">
        <x:v>Ngày bắt đầu</x:v>
      </x:c>
      <x:c r="H4" s="20" t="str">
        <x:v>Buổi T6</x:v>
      </x:c>
      <x:c r="I4" s="20" t="str">
        <x:v>Buổi T7</x:v>
      </x:c>
      <x:c r="J4" s="20" t="str">
        <x:v>Tổng buổi</x:v>
      </x:c>
      <x:c r="K4" s="20" t="str">
        <x:v>Trạng thái T7</x:v>
      </x:c>
      <x:c r="L4" s="20" t="str">
        <x:v>Ghi chú</x:v>
      </x:c>
      <x:c r="M4" s="21" t="str">
        <x:v>Lớp đã phân</x:v>
      </x:c>
    </x:row>
    <x:row r="5">
      <x:c r="A5" s="25" t="n">
        <x:v>1</x:v>
      </x:c>
      <x:c r="B5" s="25" t="str">
        <x:v>Bảo Anh (Nấm)</x:v>
      </x:c>
      <x:c r="C5" s="25" t="str">
        <x:v>Active</x:v>
      </x:c>
      <x:c r="D5" s="25" t="n">
        <x:v>2020</x:v>
      </x:c>
      <x:c r="E5" s="25" t="str">
        <x:v>PreKids</x:v>
      </x:c>
      <x:c r="F5" s="45" t="str">
        <x:v>T3-T5</x:v>
      </x:c>
      <x:c r="G5" s="63" t="n">
        <x:v>46175</x:v>
      </x:c>
      <x:c r="H5" s="45" t="n">
        <x:v>1</x:v>
      </x:c>
      <x:c r="I5" s="45" t="n">
        <x:v>4</x:v>
      </x:c>
      <x:c r="J5" s="45" t="n">
        <x:v>5</x:v>
      </x:c>
      <x:c r="K5" s="45" t="str">
        <x:v>Đang học</x:v>
      </x:c>
      <x:c r="L5" s="45" t="str">
        <x:v>Còn 1 buổi tháng 6 + sách</x:v>
      </x:c>
      <x:c r="M5" s="25" t="str">
        <x:v>Prekids02</x:v>
      </x:c>
    </x:row>
    <x:row r="6">
      <x:c r="A6" s="26" t="n">
        <x:v>2</x:v>
      </x:c>
      <x:c r="B6" s="26" t="str">
        <x:v>Nguyễn Bảo Hà</x:v>
      </x:c>
      <x:c r="C6" s="26" t="str">
        <x:v>Active</x:v>
      </x:c>
      <x:c r="D6" s="26" t="n">
        <x:v>2020</x:v>
      </x:c>
      <x:c r="E6" s="26" t="str">
        <x:v>PreKids</x:v>
      </x:c>
      <x:c r="F6" s="46" t="str">
        <x:v>T3-T5</x:v>
      </x:c>
      <x:c r="G6" s="64" t="n">
        <x:v>46175</x:v>
      </x:c>
      <x:c r="H6" s="46" t="n">
        <x:v>9</x:v>
      </x:c>
      <x:c r="I6" s="46" t="n">
        <x:v>5</x:v>
      </x:c>
      <x:c r="J6" s="46" t="n">
        <x:v>14</x:v>
      </x:c>
      <x:c r="K6" s="46" t="str">
        <x:v>Đang học</x:v>
      </x:c>
      <x:c r="L6" s="46" t="str">
        <x:v>sách</x:v>
      </x:c>
      <x:c r="M6" s="26" t="str">
        <x:v>Prekids02</x:v>
      </x:c>
    </x:row>
    <x:row r="7">
      <x:c r="A7" s="26" t="n">
        <x:v>3</x:v>
      </x:c>
      <x:c r="B7" s="26" t="str">
        <x:v>Phạm Hà Dương</x:v>
      </x:c>
      <x:c r="C7" s="26" t="str">
        <x:v>Deactive</x:v>
      </x:c>
      <x:c r="D7" s="26" t="n">
        <x:v>2020</x:v>
      </x:c>
      <x:c r="E7" s="26" t="str">
        <x:v>PreKids</x:v>
      </x:c>
      <x:c r="F7" s="46" t="str">
        <x:v>T3-T5</x:v>
      </x:c>
      <x:c r="G7" s="64" t="n">
        <x:v>46175</x:v>
      </x:c>
      <x:c r="H7" s="46" t="n">
        <x:v>9</x:v>
      </x:c>
      <x:c r="I7" s="46" t="n">
        <x:v>0</x:v>
      </x:c>
      <x:c r="J7" s="46" t="n">
        <x:v>9</x:v>
      </x:c>
      <x:c r="K7" s="46" t="str">
        <x:v>Nghỉ / chưa có buổi</x:v>
      </x:c>
      <x:c r="L7" s="46" t="str">
        <x:v>Không có tên trong tháng 7</x:v>
      </x:c>
      <x:c r="M7" s="26" t="str">
        <x:v>Prekids02</x:v>
      </x:c>
    </x:row>
    <x:row r="8">
      <x:c r="A8" s="26" t="n">
        <x:v>4</x:v>
      </x:c>
      <x:c r="B8" s="26" t="str">
        <x:v>Nguyễn Minh Anh</x:v>
      </x:c>
      <x:c r="C8" s="26" t="str">
        <x:v>Active</x:v>
      </x:c>
      <x:c r="D8" s="26" t="n">
        <x:v>2020</x:v>
      </x:c>
      <x:c r="E8" s="26" t="str">
        <x:v>PreKids</x:v>
      </x:c>
      <x:c r="F8" s="46" t="str">
        <x:v>T2-T5</x:v>
      </x:c>
      <x:c r="G8" s="64" t="n">
        <x:v>46174</x:v>
      </x:c>
      <x:c r="H8" s="46" t="n">
        <x:v>9</x:v>
      </x:c>
      <x:c r="I8" s="46" t="n">
        <x:v>5</x:v>
      </x:c>
      <x:c r="J8" s="46" t="n">
        <x:v>14</x:v>
      </x:c>
      <x:c r="K8" s="46" t="str">
        <x:v>Đang học</x:v>
      </x:c>
      <x:c r="L8" s="46" t="str">
        <x:v>sách</x:v>
      </x:c>
      <x:c r="M8" s="26" t="str">
        <x:v>Prekids01</x:v>
      </x:c>
    </x:row>
    <x:row r="9">
      <x:c r="A9" s="26" t="n">
        <x:v>5</x:v>
      </x:c>
      <x:c r="B9" s="26" t="str">
        <x:v>Nguyễn Minh Ngọc</x:v>
      </x:c>
      <x:c r="C9" s="26" t="str">
        <x:v>Deactive</x:v>
      </x:c>
      <x:c r="D9" s="26" t="n">
        <x:v>2020</x:v>
      </x:c>
      <x:c r="E9" s="26" t="str">
        <x:v>PreKids</x:v>
      </x:c>
      <x:c r="F9" s="46" t="str">
        <x:v>T6-T7</x:v>
      </x:c>
      <x:c r="G9" s="64" t="n">
        <x:v>46178</x:v>
      </x:c>
      <x:c r="H9" s="46" t="n">
        <x:v>6</x:v>
      </x:c>
      <x:c r="I9" s="46" t="n">
        <x:v>8</x:v>
      </x:c>
      <x:c r="J9" s="46" t="n">
        <x:v>14</x:v>
      </x:c>
      <x:c r="K9" s="46" t="str">
        <x:v>Đang học</x:v>
      </x:c>
      <x:c r="L9" s="46" t="str">
        <x:v>sách</x:v>
      </x:c>
      <x:c r="M9" s="26" t="str">
        <x:v>Prekids03</x:v>
      </x:c>
    </x:row>
    <x:row r="10">
      <x:c r="A10" s="26" t="n">
        <x:v>6</x:v>
      </x:c>
      <x:c r="B10" s="26" t="str">
        <x:v>Phương My (Sữa)</x:v>
      </x:c>
      <x:c r="C10" s="26" t="str">
        <x:v>Active</x:v>
      </x:c>
      <x:c r="D10" s="26" t="n">
        <x:v>2020</x:v>
      </x:c>
      <x:c r="E10" s="26" t="str">
        <x:v>PreKids</x:v>
      </x:c>
      <x:c r="F10" s="46" t="str">
        <x:v>T3-T4-T7</x:v>
      </x:c>
      <x:c r="G10" s="64" t="n">
        <x:v>46176</x:v>
      </x:c>
      <x:c r="H10" s="46" t="n">
        <x:v>6</x:v>
      </x:c>
      <x:c r="I10" s="46" t="n">
        <x:v>4</x:v>
      </x:c>
      <x:c r="J10" s="46" t="n">
        <x:v>10</x:v>
      </x:c>
      <x:c r="K10" s="46" t="str">
        <x:v>Đang học</x:v>
      </x:c>
      <x:c r="L10" s="46" t="str">
        <x:v>sách</x:v>
      </x:c>
      <x:c r="M10" s="26" t="str">
        <x:v>Prekids03</x:v>
      </x:c>
    </x:row>
    <x:row r="11">
      <x:c r="A11" s="26" t="n">
        <x:v>7</x:v>
      </x:c>
      <x:c r="B11" s="26" t="str">
        <x:v>Minh Khôi</x:v>
      </x:c>
      <x:c r="C11" s="26" t="str">
        <x:v>Active</x:v>
      </x:c>
      <x:c r="D11" s="26" t="n">
        <x:v>2020</x:v>
      </x:c>
      <x:c r="E11" s="26" t="str">
        <x:v>PreKids</x:v>
      </x:c>
      <x:c r="F11" s="46" t="str">
        <x:v>T2-T3-T4-T5</x:v>
      </x:c>
      <x:c r="G11" s="64" t="n">
        <x:v>46175</x:v>
      </x:c>
      <x:c r="H11" s="46" t="n">
        <x:v>9</x:v>
      </x:c>
      <x:c r="I11" s="46" t="n">
        <x:v>11</x:v>
      </x:c>
      <x:c r="J11" s="46" t="n">
        <x:v>20</x:v>
      </x:c>
      <x:c r="K11" s="46" t="str">
        <x:v>Đang học</x:v>
      </x:c>
      <x:c r="L11" s="46" t="str"/>
      <x:c r="M11" s="26" t="str">
        <x:v>Prekids01</x:v>
      </x:c>
    </x:row>
    <x:row r="12">
      <x:c r="A12" s="26" t="n">
        <x:v>8</x:v>
      </x:c>
      <x:c r="B12" s="26" t="str">
        <x:v>Kem</x:v>
      </x:c>
      <x:c r="C12" s="26" t="str">
        <x:v>Active</x:v>
      </x:c>
      <x:c r="D12" s="26" t="n">
        <x:v>2020</x:v>
      </x:c>
      <x:c r="E12" s="26" t="str">
        <x:v>PreKids</x:v>
      </x:c>
      <x:c r="F12" s="46" t="str">
        <x:v>T3-T5-T7</x:v>
      </x:c>
      <x:c r="G12" s="64" t="n">
        <x:v>46175</x:v>
      </x:c>
      <x:c r="H12" s="46" t="n">
        <x:v>10</x:v>
      </x:c>
      <x:c r="I12" s="46" t="n">
        <x:v>8</x:v>
      </x:c>
      <x:c r="J12" s="46" t="n">
        <x:v>18</x:v>
      </x:c>
      <x:c r="K12" s="46" t="str">
        <x:v>Đang học</x:v>
      </x:c>
      <x:c r="L12" s="46" t="str"/>
      <x:c r="M12" s="26" t="str">
        <x:v>Prekids02</x:v>
      </x:c>
    </x:row>
    <x:row r="13">
      <x:c r="A13" s="26" t="n">
        <x:v>9</x:v>
      </x:c>
      <x:c r="B13" s="26" t="str">
        <x:v>Nguyên Đậu</x:v>
      </x:c>
      <x:c r="C13" s="26" t="str">
        <x:v>Active</x:v>
      </x:c>
      <x:c r="D13" s="26" t="n">
        <x:v>2021</x:v>
      </x:c>
      <x:c r="E13" s="26" t="str">
        <x:v>PreKids</x:v>
      </x:c>
      <x:c r="F13" s="46" t="str">
        <x:v>T4-T6-T7</x:v>
      </x:c>
      <x:c r="G13" s="64" t="n">
        <x:v>46176</x:v>
      </x:c>
      <x:c r="H13" s="46" t="n">
        <x:v>7</x:v>
      </x:c>
      <x:c r="I13" s="46" t="n">
        <x:v>7</x:v>
      </x:c>
      <x:c r="J13" s="46" t="n">
        <x:v>14</x:v>
      </x:c>
      <x:c r="K13" s="46" t="str">
        <x:v>Đang học</x:v>
      </x:c>
      <x:c r="L13" s="46" t="str">
        <x:v>sách</x:v>
      </x:c>
      <x:c r="M13" s="26" t="str">
        <x:v>Prekids03</x:v>
      </x:c>
    </x:row>
    <x:row r="14">
      <x:c r="A14" s="26" t="n">
        <x:v>10</x:v>
      </x:c>
      <x:c r="B14" s="26" t="str">
        <x:v>Quân Boong</x:v>
      </x:c>
      <x:c r="C14" s="26" t="str">
        <x:v>Active</x:v>
      </x:c>
      <x:c r="D14" s="26" t="n">
        <x:v>2021</x:v>
      </x:c>
      <x:c r="E14" s="26" t="str">
        <x:v>PreKids</x:v>
      </x:c>
      <x:c r="F14" s="46" t="str">
        <x:v>T2-T4</x:v>
      </x:c>
      <x:c r="G14" s="64" t="n">
        <x:v>46174</x:v>
      </x:c>
      <x:c r="H14" s="46" t="n">
        <x:v>8</x:v>
      </x:c>
      <x:c r="I14" s="46" t="n">
        <x:v>6</x:v>
      </x:c>
      <x:c r="J14" s="46" t="n">
        <x:v>14</x:v>
      </x:c>
      <x:c r="K14" s="46" t="str">
        <x:v>Đang học</x:v>
      </x:c>
      <x:c r="L14" s="46" t="str"/>
      <x:c r="M14" s="26" t="str">
        <x:v>Prekids01</x:v>
      </x:c>
    </x:row>
    <x:row r="15">
      <x:c r="A15" s="26" t="n">
        <x:v>11</x:v>
      </x:c>
      <x:c r="B15" s="26" t="str">
        <x:v>Quang Vinh</x:v>
      </x:c>
      <x:c r="C15" s="26" t="str">
        <x:v>Active</x:v>
      </x:c>
      <x:c r="D15" s="26" t="n">
        <x:v>2020</x:v>
      </x:c>
      <x:c r="E15" s="26" t="str">
        <x:v>PreKids</x:v>
      </x:c>
      <x:c r="F15" s="46" t="str">
        <x:v>T4</x:v>
      </x:c>
      <x:c r="G15" s="64" t="n">
        <x:v>46176</x:v>
      </x:c>
      <x:c r="H15" s="46" t="n">
        <x:v>6</x:v>
      </x:c>
      <x:c r="I15" s="46" t="n">
        <x:v>2</x:v>
      </x:c>
      <x:c r="J15" s="46" t="n">
        <x:v>8</x:v>
      </x:c>
      <x:c r="K15" s="46" t="str">
        <x:v>Đang học</x:v>
      </x:c>
      <x:c r="L15" s="46" t="str">
        <x:v>Đi Thụy Sĩ</x:v>
      </x:c>
      <x:c r="M15" s="26" t="str">
        <x:v>Prekids01</x:v>
      </x:c>
    </x:row>
    <x:row r="16">
      <x:c r="A16" s="26" t="n">
        <x:v>12</x:v>
      </x:c>
      <x:c r="B16" s="26" t="str">
        <x:v>Đức Anh (Shin)</x:v>
      </x:c>
      <x:c r="C16" s="26" t="str">
        <x:v>Deactive</x:v>
      </x:c>
      <x:c r="D16" s="26" t="n">
        <x:v>2020</x:v>
      </x:c>
      <x:c r="E16" s="26" t="str">
        <x:v>PreKids</x:v>
      </x:c>
      <x:c r="F16" s="46" t="str">
        <x:v>T2-T3-T4-T5</x:v>
      </x:c>
      <x:c r="G16" s="64" t="n">
        <x:v>46177</x:v>
      </x:c>
      <x:c r="H16" s="46" t="n">
        <x:v>4</x:v>
      </x:c>
      <x:c r="I16" s="46" t="n">
        <x:v>0</x:v>
      </x:c>
      <x:c r="J16" s="46" t="n">
        <x:v>4</x:v>
      </x:c>
      <x:c r="K16" s="46" t="str">
        <x:v>Nghỉ / chưa có buổi</x:v>
      </x:c>
      <x:c r="L16" s="46" t="str">
        <x:v>Học phẩm 150 · Tháng 7 chưa có buổi nào</x:v>
      </x:c>
      <x:c r="M16" s="26" t="str">
        <x:v>Prekids01</x:v>
      </x:c>
    </x:row>
    <x:row r="17">
      <x:c r="A17" s="26" t="n">
        <x:v>13</x:v>
      </x:c>
      <x:c r="B17" s="26" t="str">
        <x:v>Minh Quang (Gấu)</x:v>
      </x:c>
      <x:c r="C17" s="26" t="str">
        <x:v>Deactive</x:v>
      </x:c>
      <x:c r="D17" s="26" t="n">
        <x:v>2020</x:v>
      </x:c>
      <x:c r="E17" s="26" t="str">
        <x:v>PreKids</x:v>
      </x:c>
      <x:c r="F17" s="46" t="str">
        <x:v>T2-T4</x:v>
      </x:c>
      <x:c r="G17" s="64" t="n">
        <x:v>46181</x:v>
      </x:c>
      <x:c r="H17" s="46" t="n">
        <x:v>7</x:v>
      </x:c>
      <x:c r="I17" s="46" t="n">
        <x:v>1</x:v>
      </x:c>
      <x:c r="J17" s="46" t="n">
        <x:v>8</x:v>
      </x:c>
      <x:c r="K17" s="46" t="str">
        <x:v>Đang học</x:v>
      </x:c>
      <x:c r="L17" s="46" t="str">
        <x:v>Học phẩm 150</x:v>
      </x:c>
      <x:c r="M17" s="26" t="str">
        <x:v>Prekids01</x:v>
      </x:c>
    </x:row>
    <x:row r="18">
      <x:c r="A18" s="26" t="n">
        <x:v>14</x:v>
      </x:c>
      <x:c r="B18" s="26" t="str">
        <x:v>Hà Anh (ôn hè)</x:v>
      </x:c>
      <x:c r="C18" s="26" t="str">
        <x:v>Deactive</x:v>
      </x:c>
      <x:c r="D18" s="26"/>
      <x:c r="E18" s="26" t="str">
        <x:v>PreKids (ôn hè)</x:v>
      </x:c>
      <x:c r="F18" s="46" t="str">
        <x:v>T3-T5</x:v>
      </x:c>
      <x:c r="G18" s="64" t="n">
        <x:v>46182</x:v>
      </x:c>
      <x:c r="H18" s="46" t="n">
        <x:v>5</x:v>
      </x:c>
      <x:c r="I18" s="46" t="n">
        <x:v>3</x:v>
      </x:c>
      <x:c r="J18" s="46" t="n">
        <x:v>8</x:v>
      </x:c>
      <x:c r="K18" s="46" t="str">
        <x:v>Đang học</x:v>
      </x:c>
      <x:c r="L18" s="46" t="str"/>
      <x:c r="M18" s="26" t="str">
        <x:v>Prekids02</x:v>
      </x:c>
    </x:row>
    <x:row r="19">
      <x:c r="A19" s="26" t="n">
        <x:v>15</x:v>
      </x:c>
      <x:c r="B19" s="26" t="str">
        <x:v>Bảo Anh (ôn hè)</x:v>
      </x:c>
      <x:c r="C19" s="26" t="str">
        <x:v>Deactive</x:v>
      </x:c>
      <x:c r="D19" s="26"/>
      <x:c r="E19" s="26" t="str">
        <x:v>PreKids (ôn hè)</x:v>
      </x:c>
      <x:c r="F19" s="46" t="str">
        <x:v>T3-T5</x:v>
      </x:c>
      <x:c r="G19" s="64" t="n">
        <x:v>46182</x:v>
      </x:c>
      <x:c r="H19" s="46" t="n">
        <x:v>5</x:v>
      </x:c>
      <x:c r="I19" s="46" t="n">
        <x:v>3</x:v>
      </x:c>
      <x:c r="J19" s="46" t="n">
        <x:v>8</x:v>
      </x:c>
      <x:c r="K19" s="46" t="str">
        <x:v>Đang học</x:v>
      </x:c>
      <x:c r="L19" s="46" t="str"/>
      <x:c r="M19" s="26" t="str">
        <x:v>Prekids02</x:v>
      </x:c>
    </x:row>
    <x:row r="20">
      <x:c r="A20" s="26" t="n">
        <x:v>16</x:v>
      </x:c>
      <x:c r="B20" s="26" t="str">
        <x:v>Huyền Anh (ôn hè)</x:v>
      </x:c>
      <x:c r="C20" s="26" t="str">
        <x:v>Deactive</x:v>
      </x:c>
      <x:c r="D20" s="26"/>
      <x:c r="E20" s="26" t="str">
        <x:v>PreKids (ôn hè)</x:v>
      </x:c>
      <x:c r="F20" s="46" t="str">
        <x:v>T3-T5</x:v>
      </x:c>
      <x:c r="G20" s="64" t="n">
        <x:v>46191</x:v>
      </x:c>
      <x:c r="H20" s="46" t="n">
        <x:v>6</x:v>
      </x:c>
      <x:c r="I20" s="46" t="n">
        <x:v>0</x:v>
      </x:c>
      <x:c r="J20" s="46" t="n">
        <x:v>6</x:v>
      </x:c>
      <x:c r="K20" s="46" t="str">
        <x:v>Nghỉ / chưa có buổi</x:v>
      </x:c>
      <x:c r="L20" s="46" t="str">
        <x:v>Không có tên trong tháng 7</x:v>
      </x:c>
      <x:c r="M20" s="26" t="str">
        <x:v>Prekids02</x:v>
      </x:c>
    </x:row>
    <x:row r="21">
      <x:c r="A21" s="26" t="n">
        <x:v>17</x:v>
      </x:c>
      <x:c r="B21" s="26" t="str">
        <x:v>Minh Khang (ôn hè)</x:v>
      </x:c>
      <x:c r="C21" s="26" t="str">
        <x:v>Active</x:v>
      </x:c>
      <x:c r="D21" s="26"/>
      <x:c r="E21" s="26" t="str">
        <x:v>PreKids (ôn hè)</x:v>
      </x:c>
      <x:c r="F21" s="46" t="str">
        <x:v>T2-T6</x:v>
      </x:c>
      <x:c r="G21" s="64" t="n">
        <x:v>46192</x:v>
      </x:c>
      <x:c r="H21" s="46" t="n">
        <x:v>3</x:v>
      </x:c>
      <x:c r="I21" s="46" t="n">
        <x:v>4</x:v>
      </x:c>
      <x:c r="J21" s="46" t="n">
        <x:v>7</x:v>
      </x:c>
      <x:c r="K21" s="46" t="str">
        <x:v>Đang học</x:v>
      </x:c>
      <x:c r="L21" s="46" t="str">
        <x:v>Học phẩm 300 · 150k/buổi</x:v>
      </x:c>
      <x:c r="M21" s="26" t="str">
        <x:v>Prekids01</x:v>
      </x:c>
    </x:row>
    <x:row r="22">
      <x:c r="A22" s="26" t="n">
        <x:v>18</x:v>
      </x:c>
      <x:c r="B22" s="26" t="str">
        <x:v>Cherry</x:v>
      </x:c>
      <x:c r="C22" s="26" t="str">
        <x:v>Active</x:v>
      </x:c>
      <x:c r="D22" s="26"/>
      <x:c r="E22" s="26" t="str">
        <x:v>PreKids</x:v>
      </x:c>
      <x:c r="F22" s="46" t="str">
        <x:v>T7</x:v>
      </x:c>
      <x:c r="G22" s="64" t="n">
        <x:v>46228</x:v>
      </x:c>
      <x:c r="H22" s="46" t="n">
        <x:v>0</x:v>
      </x:c>
      <x:c r="I22" s="46" t="n">
        <x:v>1</x:v>
      </x:c>
      <x:c r="J22" s="46" t="n">
        <x:v>1</x:v>
      </x:c>
      <x:c r="K22" s="46" t="str">
        <x:v>Học viên mới T7</x:v>
      </x:c>
      <x:c r="L22" s="46" t="str">
        <x:v>Học viên mới tháng 7 · sách</x:v>
      </x:c>
      <x:c r="M22" s="26" t="str">
        <x:v>Prekids03</x:v>
      </x:c>
    </x:row>
    <x:row r="23">
      <x:c r="A23" s="26" t="n">
        <x:v>19</x:v>
      </x:c>
      <x:c r="B23" s="26" t="str">
        <x:v>Trần Quốc Bảo</x:v>
      </x:c>
      <x:c r="C23" s="26" t="str">
        <x:v>Active</x:v>
      </x:c>
      <x:c r="D23" s="26" t="n">
        <x:v>2019</x:v>
      </x:c>
      <x:c r="E23" s="26" t="str">
        <x:v>Luyện chữ hè</x:v>
      </x:c>
      <x:c r="F23" s="46" t="str">
        <x:v>T2-T4 · 8h30-10h</x:v>
      </x:c>
      <x:c r="G23" s="64" t="n">
        <x:v>46174</x:v>
      </x:c>
      <x:c r="H23" s="46" t="n">
        <x:v>8</x:v>
      </x:c>
      <x:c r="I23" s="46" t="n">
        <x:v>5</x:v>
      </x:c>
      <x:c r="J23" s="46" t="n">
        <x:v>13</x:v>
      </x:c>
      <x:c r="K23" s="46" t="str">
        <x:v>Đang học</x:v>
      </x:c>
      <x:c r="L23" s="46" t="str">
        <x:v>Mẹ Tâm Nguyễn</x:v>
      </x:c>
      <x:c r="M23" s="26" t="str">
        <x:v>LCD001</x:v>
      </x:c>
    </x:row>
    <x:row r="24">
      <x:c r="A24" s="26" t="n">
        <x:v>20</x:v>
      </x:c>
      <x:c r="B24" s="26" t="str">
        <x:v>Vũ Nhật Minh</x:v>
      </x:c>
      <x:c r="C24" s="26" t="str">
        <x:v>Active</x:v>
      </x:c>
      <x:c r="D24" s="26" t="n">
        <x:v>2014</x:v>
      </x:c>
      <x:c r="E24" s="26" t="str">
        <x:v>Luyện chữ hè</x:v>
      </x:c>
      <x:c r="F24" s="46" t="str">
        <x:v>T3-T5 · 8h30-10h</x:v>
      </x:c>
      <x:c r="G24" s="64" t="n">
        <x:v>46175</x:v>
      </x:c>
      <x:c r="H24" s="46" t="n">
        <x:v>7</x:v>
      </x:c>
      <x:c r="I24" s="46" t="n">
        <x:v>7</x:v>
      </x:c>
      <x:c r="J24" s="46" t="n">
        <x:v>14</x:v>
      </x:c>
      <x:c r="K24" s="46" t="str">
        <x:v>Đang học</x:v>
      </x:c>
      <x:c r="L24" s="46" t="str">
        <x:v>Mẹ Nguyễn Hương</x:v>
      </x:c>
      <x:c r="M24" s="26" t="str">
        <x:v>LCD002</x:v>
      </x:c>
    </x:row>
    <x:row r="25">
      <x:c r="A25" s="26" t="n">
        <x:v>21</x:v>
      </x:c>
      <x:c r="B25" s="26" t="str">
        <x:v>Vũ Tú Anh</x:v>
      </x:c>
      <x:c r="C25" s="26" t="str">
        <x:v>Deactive</x:v>
      </x:c>
      <x:c r="D25" s="26" t="n">
        <x:v>2019</x:v>
      </x:c>
      <x:c r="E25" s="26" t="str">
        <x:v>Luyện chữ hè</x:v>
      </x:c>
      <x:c r="F25" s="46" t="str">
        <x:v>T3-T5 · 8h30-10h</x:v>
      </x:c>
      <x:c r="G25" s="64" t="n">
        <x:v>46175</x:v>
      </x:c>
      <x:c r="H25" s="46" t="n">
        <x:v>6</x:v>
      </x:c>
      <x:c r="I25" s="46" t="n">
        <x:v>0</x:v>
      </x:c>
      <x:c r="J25" s="46" t="n">
        <x:v>6</x:v>
      </x:c>
      <x:c r="K25" s="46" t="str">
        <x:v>Nghỉ / dừng giữa khoá</x:v>
      </x:c>
      <x:c r="L25" s="46" t="str"/>
      <x:c r="M25" s="26" t="str">
        <x:v>LCD002</x:v>
      </x:c>
    </x:row>
    <x:row r="26">
      <x:c r="A26" s="26" t="n">
        <x:v>22</x:v>
      </x:c>
      <x:c r="B26" s="26" t="str">
        <x:v>Ngọc Châu</x:v>
      </x:c>
      <x:c r="C26" s="26" t="str">
        <x:v>Active</x:v>
      </x:c>
      <x:c r="D26" s="26" t="n">
        <x:v>2018</x:v>
      </x:c>
      <x:c r="E26" s="26" t="str">
        <x:v>Luyện chữ hè</x:v>
      </x:c>
      <x:c r="F26" s="46" t="str">
        <x:v>T2-T4 · 19h45-21h | thực tế T4-T7</x:v>
      </x:c>
      <x:c r="G26" s="64" t="n">
        <x:v>46176</x:v>
      </x:c>
      <x:c r="H26" s="46" t="n">
        <x:v>3</x:v>
      </x:c>
      <x:c r="I26" s="46" t="n">
        <x:v>7</x:v>
      </x:c>
      <x:c r="J26" s="46" t="n">
        <x:v>10</x:v>
      </x:c>
      <x:c r="K26" s="46" t="str">
        <x:v>Đang học</x:v>
      </x:c>
      <x:c r="L26" s="46" t="str">
        <x:v>Mẹ Dung Phan</x:v>
      </x:c>
      <x:c r="M26" s="26" t="str">
        <x:v>LCD005</x:v>
      </x:c>
    </x:row>
    <x:row r="27">
      <x:c r="A27" s="26" t="n">
        <x:v>23</x:v>
      </x:c>
      <x:c r="B27" s="26" t="str">
        <x:v>Trịnh Ngọc Gia Hân</x:v>
      </x:c>
      <x:c r="C27" s="26" t="str">
        <x:v>Active</x:v>
      </x:c>
      <x:c r="D27" s="26" t="n">
        <x:v>2014</x:v>
      </x:c>
      <x:c r="E27" s="26" t="str">
        <x:v>Luyện chữ hè</x:v>
      </x:c>
      <x:c r="F27" s="46" t="str">
        <x:v>T2-T4 · 8h30-10h</x:v>
      </x:c>
      <x:c r="G27" s="64" t="n">
        <x:v>46204</x:v>
      </x:c>
      <x:c r="H27" s="46" t="n">
        <x:v>0</x:v>
      </x:c>
      <x:c r="I27" s="46" t="n">
        <x:v>8</x:v>
      </x:c>
      <x:c r="J27" s="46" t="n">
        <x:v>8</x:v>
      </x:c>
      <x:c r="K27" s="46" t="str">
        <x:v>Học viên mới T7</x:v>
      </x:c>
      <x:c r="L27" s="46" t="str">
        <x:v>Mẹ Mai Trần</x:v>
      </x:c>
      <x:c r="M27" s="26" t="str">
        <x:v>LCD001</x:v>
      </x:c>
    </x:row>
    <x:row r="28">
      <x:c r="A28" s="26" t="n">
        <x:v>24</x:v>
      </x:c>
      <x:c r="B28" s="26" t="str">
        <x:v>Phùng Minh Quang</x:v>
      </x:c>
      <x:c r="C28" s="26" t="str">
        <x:v>Active</x:v>
      </x:c>
      <x:c r="D28" s="26" t="n">
        <x:v>2015</x:v>
      </x:c>
      <x:c r="E28" s="26" t="str">
        <x:v>Luyện chữ hè</x:v>
      </x:c>
      <x:c r="F28" s="46" t="str">
        <x:v>T3-T5 · 8h30-10h | thực tế T2-T4</x:v>
      </x:c>
      <x:c r="G28" s="64" t="n">
        <x:v>46175</x:v>
      </x:c>
      <x:c r="H28" s="46" t="n">
        <x:v>8</x:v>
      </x:c>
      <x:c r="I28" s="46" t="n">
        <x:v>9</x:v>
      </x:c>
      <x:c r="J28" s="46" t="n">
        <x:v>17</x:v>
      </x:c>
      <x:c r="K28" s="46" t="str">
        <x:v>Đang học</x:v>
      </x:c>
      <x:c r="L28" s="46" t="str">
        <x:v>Mẹ Nga Lee</x:v>
      </x:c>
      <x:c r="M28" s="26" t="str">
        <x:v>LCD001</x:v>
      </x:c>
    </x:row>
    <x:row r="29">
      <x:c r="A29" s="26" t="n">
        <x:v>25</x:v>
      </x:c>
      <x:c r="B29" s="26" t="str">
        <x:v>Kenry</x:v>
      </x:c>
      <x:c r="C29" s="26" t="str">
        <x:v>Pending</x:v>
      </x:c>
      <x:c r="D29" s="26"/>
      <x:c r="E29" s="26" t="str">
        <x:v>Luyện chữ hè</x:v>
      </x:c>
      <x:c r="F29" s="46" t="str">
        <x:v>Lớp chờ tháng 7</x:v>
      </x:c>
      <x:c r="G29" s="64"/>
      <x:c r="H29" s="46" t="n">
        <x:v>0</x:v>
      </x:c>
      <x:c r="I29" s="46" t="n">
        <x:v>0</x:v>
      </x:c>
      <x:c r="J29" s="46" t="n">
        <x:v>0</x:v>
      </x:c>
      <x:c r="K29" s="46" t="str">
        <x:v>Chưa học buổi nào</x:v>
      </x:c>
      <x:c r="L29" s="46" t="str"/>
      <x:c r="M29" s="26" t="str">
        <x:v>LCD005</x:v>
      </x:c>
    </x:row>
    <x:row r="30">
      <x:c r="A30" s="26" t="n">
        <x:v>26</x:v>
      </x:c>
      <x:c r="B30" s="26" t="str">
        <x:v>Nguyễn Nam Khang</x:v>
      </x:c>
      <x:c r="C30" s="26" t="str">
        <x:v>Active</x:v>
      </x:c>
      <x:c r="D30" s="26" t="n">
        <x:v>2012</x:v>
      </x:c>
      <x:c r="E30" s="26" t="str">
        <x:v>Luyện chữ hè</x:v>
      </x:c>
      <x:c r="F30" s="46" t="str">
        <x:v>T2-T4 · 8h30-10h</x:v>
      </x:c>
      <x:c r="G30" s="64" t="n">
        <x:v>46174</x:v>
      </x:c>
      <x:c r="H30" s="46" t="n">
        <x:v>9</x:v>
      </x:c>
      <x:c r="I30" s="46" t="n">
        <x:v>9</x:v>
      </x:c>
      <x:c r="J30" s="46" t="n">
        <x:v>18</x:v>
      </x:c>
      <x:c r="K30" s="46" t="str">
        <x:v>Đang học</x:v>
      </x:c>
      <x:c r="L30" s="46" t="str"/>
      <x:c r="M30" s="26" t="str">
        <x:v>LCD001</x:v>
      </x:c>
    </x:row>
    <x:row r="31">
      <x:c r="A31" s="26" t="n">
        <x:v>27</x:v>
      </x:c>
      <x:c r="B31" s="26" t="str">
        <x:v>Trần Đức Khôi</x:v>
      </x:c>
      <x:c r="C31" s="26" t="str">
        <x:v>Active</x:v>
      </x:c>
      <x:c r="D31" s="26" t="n">
        <x:v>2019</x:v>
      </x:c>
      <x:c r="E31" s="26" t="str">
        <x:v>Luyện chữ hè</x:v>
      </x:c>
      <x:c r="F31" s="46" t="str">
        <x:v>T2-T4 · 8h30-10h</x:v>
      </x:c>
      <x:c r="G31" s="64" t="n">
        <x:v>46174</x:v>
      </x:c>
      <x:c r="H31" s="46" t="n">
        <x:v>9</x:v>
      </x:c>
      <x:c r="I31" s="46" t="n">
        <x:v>1</x:v>
      </x:c>
      <x:c r="J31" s="46" t="n">
        <x:v>10</x:v>
      </x:c>
      <x:c r="K31" s="46" t="str">
        <x:v>Đang học</x:v>
      </x:c>
      <x:c r="L31" s="46" t="str"/>
      <x:c r="M31" s="26" t="str">
        <x:v>LCD001</x:v>
      </x:c>
    </x:row>
    <x:row r="32">
      <x:c r="A32" s="26" t="n">
        <x:v>28</x:v>
      </x:c>
      <x:c r="B32" s="26" t="str">
        <x:v>Vũ Quang Hùng</x:v>
      </x:c>
      <x:c r="C32" s="26" t="str">
        <x:v>Active</x:v>
      </x:c>
      <x:c r="D32" s="26" t="n">
        <x:v>2018</x:v>
      </x:c>
      <x:c r="E32" s="26" t="str">
        <x:v>Luyện chữ hè</x:v>
      </x:c>
      <x:c r="F32" s="46" t="str">
        <x:v>T4-T6 · 19h45-21h</x:v>
      </x:c>
      <x:c r="G32" s="64" t="n">
        <x:v>46176</x:v>
      </x:c>
      <x:c r="H32" s="46" t="n">
        <x:v>6</x:v>
      </x:c>
      <x:c r="I32" s="46" t="n">
        <x:v>7</x:v>
      </x:c>
      <x:c r="J32" s="46" t="n">
        <x:v>13</x:v>
      </x:c>
      <x:c r="K32" s="46" t="str">
        <x:v>Đang học</x:v>
      </x:c>
      <x:c r="L32" s="46" t="str"/>
      <x:c r="M32" s="26" t="str">
        <x:v>LCD004</x:v>
      </x:c>
    </x:row>
    <x:row r="33">
      <x:c r="A33" s="26" t="n">
        <x:v>29</x:v>
      </x:c>
      <x:c r="B33" s="26" t="str">
        <x:v>Duy Đăng</x:v>
      </x:c>
      <x:c r="C33" s="26" t="str">
        <x:v>Active</x:v>
      </x:c>
      <x:c r="D33" s="26" t="n">
        <x:v>2018</x:v>
      </x:c>
      <x:c r="E33" s="26" t="str">
        <x:v>Luyện chữ hè</x:v>
      </x:c>
      <x:c r="F33" s="46" t="str">
        <x:v>(chưa xếp ca)</x:v>
      </x:c>
      <x:c r="G33" s="64"/>
      <x:c r="H33" s="46" t="n">
        <x:v>0</x:v>
      </x:c>
      <x:c r="I33" s="46" t="n">
        <x:v>0</x:v>
      </x:c>
      <x:c r="J33" s="46" t="n">
        <x:v>0</x:v>
      </x:c>
      <x:c r="K33" s="46" t="str">
        <x:v>Chưa học buổi nào</x:v>
      </x:c>
      <x:c r="L33" s="46" t="str"/>
      <x:c r="M33" s="26" t="str">
        <x:v>LCD003</x:v>
      </x:c>
    </x:row>
    <x:row r="34">
      <x:c r="A34" s="26" t="n">
        <x:v>30</x:v>
      </x:c>
      <x:c r="B34" s="26" t="str">
        <x:v>Nguyễn Quỳnh Trang</x:v>
      </x:c>
      <x:c r="C34" s="26" t="str">
        <x:v>Active</x:v>
      </x:c>
      <x:c r="D34" s="26" t="n">
        <x:v>2019</x:v>
      </x:c>
      <x:c r="E34" s="26" t="str">
        <x:v>Luyện chữ hè</x:v>
      </x:c>
      <x:c r="F34" s="46" t="str">
        <x:v>(chưa xếp ca) | thực tế T2</x:v>
      </x:c>
      <x:c r="G34" s="64" t="n">
        <x:v>46230</x:v>
      </x:c>
      <x:c r="H34" s="46" t="n">
        <x:v>0</x:v>
      </x:c>
      <x:c r="I34" s="46" t="n">
        <x:v>1</x:v>
      </x:c>
      <x:c r="J34" s="46" t="n">
        <x:v>1</x:v>
      </x:c>
      <x:c r="K34" s="46" t="str">
        <x:v>Học viên mới T7</x:v>
      </x:c>
      <x:c r="L34" s="46" t="str"/>
      <x:c r="M34" s="26" t="str">
        <x:v>LCD003</x:v>
      </x:c>
    </x:row>
    <x:row r="36">
      <x:c r="A36" s="62" t="str">
        <x:v>https://docs.google.com/spreadsheets/d/1SelaoNWI6fyUdqhM10CEssYpIwDjL4K6me1AOeZ8exM/edit?gid=2043552548#gid=2043552548</x:v>
      </x:c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</x:row>
  </x:sheetData>
  <x:mergeCells>
    <x:mergeCell ref="A1:M1"/>
    <x:mergeCell ref="A2:M2"/>
    <x:mergeCell ref="A36:M36"/>
  </x:mergeCells>
  <x:pageMargins left="0.7" right="0.7" top="0.75" bottom="0.75" header="0.3" footer="0.3"/>
  <x:tableParts count="1">
    <x:tablePart xmlns:r="http://schemas.openxmlformats.org/officeDocument/2006/relationships" r:id="R9cad08749e034aaa"/>
  </x:tableParts>
</x:worksheet>
</file>